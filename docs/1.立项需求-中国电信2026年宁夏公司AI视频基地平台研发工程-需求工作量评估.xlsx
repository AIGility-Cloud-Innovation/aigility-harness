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660" windowHeight="13060" tabRatio="805"/>
  </bookViews>
  <sheets>
    <sheet name="软件研发项目工作量评估模板" sheetId="22" r:id="rId1"/>
    <sheet name="工作量评估" sheetId="19" state="hidden" r:id="rId2"/>
    <sheet name="工作量标准" sheetId="14" r:id="rId3"/>
    <sheet name="功能点类型" sheetId="13" state="hidden" r:id="rId4"/>
  </sheets>
  <definedNames>
    <definedName name="_xlnm._FilterDatabase" localSheetId="0" hidden="1">软件研发项目工作量评估模板!$A$11:$X$89</definedName>
    <definedName name="_xlnm._FilterDatabase" localSheetId="1" hidden="1">工作量评估!$A$27:$G$43</definedName>
    <definedName name="_xlnm.Print_Area" localSheetId="2">工作量标准!$1:$1</definedName>
    <definedName name="_xlnm.Print_Area" localSheetId="1">工作量评估!$A$1:$M$65</definedName>
    <definedName name="_xlnm.Print_Area" localSheetId="0">软件研发项目工作量评估模板!$A$1:$P$89</definedName>
    <definedName name="_xlnm.Print_Titles" localSheetId="0">软件研发项目工作量评估模板!$3:$4</definedName>
    <definedName name="T1.界面类">功能点类型!$A$2:$A$3</definedName>
    <definedName name="T1.界面类st1.新增单个页面">功能点类型!$A$14:$A$18</definedName>
    <definedName name="T1.界面类st2.修改已有页面">功能点类型!$B$14:$B$18</definedName>
    <definedName name="T2.业务逻辑类">功能点类型!$B$2:$B$3</definedName>
    <definedName name="T2.业务逻辑类st1.新增业务逻辑">功能点类型!$C$14:$C$18</definedName>
    <definedName name="T2.业务逻辑类st2.调整业务逻辑">功能点类型!$D$14:$D$18</definedName>
    <definedName name="T3.接口类">功能点类型!$C$2:$C$5</definedName>
    <definedName name="T3.接口类st1.提供方_新增接口">功能点类型!$E$14:$E$18</definedName>
    <definedName name="T3.接口类st1.提供方新增接口">功能点类型!$E$14:$E$18</definedName>
    <definedName name="T3.接口类st2.消费方_新增接口">功能点类型!$F$14:$F$18</definedName>
    <definedName name="T3.接口类st2.消费方新增接口">功能点类型!$F$14:$F$18</definedName>
    <definedName name="T3.接口类st3.修改接口">功能点类型!$G$14:$G$18</definedName>
    <definedName name="T3.接口类st4.纵向接口联调">功能点类型!$H$14:$H$18</definedName>
    <definedName name="T4.流程类">功能点类型!$D$2:$D$3</definedName>
    <definedName name="T4.流程类st1.配置流程_新增流程">功能点类型!$I$14:$I$18</definedName>
    <definedName name="T4.流程类st1.配置流程新增流程">功能点类型!$I$14:$I$18</definedName>
    <definedName name="T4.流程类st2.配置流程_修改流程">功能点类型!$J$14:$J$18</definedName>
    <definedName name="T4.流程类st2.配置流程修改流程">功能点类型!$J$14:$J$18</definedName>
    <definedName name="T5.报表类">功能点类型!$E$2:$E$4</definedName>
    <definedName name="T5.报表类st1.新增报表">功能点类型!$K$14:$K$18</definedName>
    <definedName name="T5.报表类st2.变更报表">功能点类型!$L$14:$L$18</definedName>
    <definedName name="T5.报表类st3.配置报表">功能点类型!$M$14:$M$18</definedName>
    <definedName name="T6.数据处理类">功能点类型!$F$2:$F$11</definedName>
    <definedName name="T6.数据处理类st1.新增导出模板">功能点类型!$N$14:$N$18</definedName>
    <definedName name="T6.数据处理类st10.数据测算">功能点类型!$W$14:$W$18</definedName>
    <definedName name="T6.数据处理类st2.已有导出模板修改">功能点类型!$O$14:$O$18</definedName>
    <definedName name="T6.数据处理类st3.新增导入功能">功能点类型!$P$14:$P$18</definedName>
    <definedName name="T6.数据处理类st4.已有导入功能修改">功能点类型!$Q$14:$Q$18</definedName>
    <definedName name="T6.数据处理类st5.临时取数">功能点类型!$R$14:$R$18</definedName>
    <definedName name="T6.数据处理类st6.数据批量修改">功能点类型!$S$14:$S$18</definedName>
    <definedName name="T6.数据处理类st7.数据配置">功能点类型!$T$14:$T$18</definedName>
    <definedName name="T6.数据处理类st8.数据稽核">功能点类型!$U$14:$U$18</definedName>
    <definedName name="T6.数据处理类st9.数据加工">功能点类型!$V$14:$V$18</definedName>
    <definedName name="T7.实施类">功能点类型!$G$2:$G$5</definedName>
    <definedName name="T7.实施类st1.主机配置">功能点类型!$X$14:$X$18</definedName>
    <definedName name="T7.实施类st2.存储扩容配置">功能点类型!$Y$14:$Y$18</definedName>
    <definedName name="T7.实施类st3.网络策略配置">功能点类型!$Z$14:$Z$18</definedName>
    <definedName name="T7.实施类st4应用部署">功能点类型!$AA$14:$AA$18</definedName>
    <definedName name="T8.推广类">功能点类型!$H$2:$H$10</definedName>
    <definedName name="T8.推广类_仅全国集中系统选">功能点类型!$H$2:$H$10</definedName>
    <definedName name="T8.推广类st.9_网络验证">功能点类型!$AJ$14:$AJ$18</definedName>
    <definedName name="T8.推广类st1.业务差异分析">功能点类型!$AB$14:$AB$18</definedName>
    <definedName name="T8.推广类st2.参数配置">功能点类型!$AC$14:$AC$18</definedName>
    <definedName name="T8.推广类st3.业务端到端测试">功能点类型!$AD$14:$AD$18</definedName>
    <definedName name="T8.推广类st4.软件升级及安装">功能点类型!$AE$14:$AE$18</definedName>
    <definedName name="T8.推广类st5.生产环境压力测试">功能点类型!$AF$14:$AF$18</definedName>
    <definedName name="T8.推广类st6.数据脱敏">功能点类型!$AG$14:$AG$18</definedName>
    <definedName name="T8.推广类st7.数据收集与清理">功能点类型!$AH$14:$AH$18</definedName>
    <definedName name="T8.推广类st8.数据割接">功能点类型!$AI$14:$AI$18</definedName>
    <definedName name="报表类">功能点类型!$E$2:$E$11</definedName>
    <definedName name="集成环境复杂性">功能点类型!$B$24:$B$29</definedName>
    <definedName name="接口类">功能点类型!$C$2:$C$11</definedName>
    <definedName name="界面类">功能点类型!$A$2:$A$11</definedName>
    <definedName name="可靠性">功能点类型!$C$24:$C$29</definedName>
    <definedName name="流程类">功能点类型!$D$2:$D$11</definedName>
    <definedName name="实施类">功能点类型!$G$2:$G$11</definedName>
    <definedName name="数据处理类">功能点类型!$F$2:$F$11</definedName>
    <definedName name="推广类_仅全国集中系统选">功能点类型!$H$2:$H$11</definedName>
    <definedName name="系统设计容量">功能点类型!$D$24:$D$29</definedName>
    <definedName name="响应速度">功能点类型!$A$24:$A$29</definedName>
    <definedName name="业务逻辑类">功能点类型!$B$2:$B$11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<sst xmlns="http://schemas.openxmlformats.org/spreadsheetml/2006/main" count="1456" uniqueCount="688">
  <si>
    <t>中国电信2026年宁夏公司AI视频基地平台研发工程</t>
  </si>
  <si>
    <t>上报单位：</t>
  </si>
  <si>
    <t>人工智能业务运营中心</t>
  </si>
  <si>
    <t>研发团队</t>
  </si>
  <si>
    <t>上报人：</t>
  </si>
  <si>
    <t>邮箱：</t>
  </si>
  <si>
    <t>guoxiaole.nx@chinatelecom.cn</t>
  </si>
  <si>
    <t>序
号</t>
  </si>
  <si>
    <t>一级
功能模块</t>
  </si>
  <si>
    <t>二级
功能模块</t>
  </si>
  <si>
    <t>三级
功能模块</t>
  </si>
  <si>
    <t>功能点
说明</t>
  </si>
  <si>
    <t>厂家上报</t>
  </si>
  <si>
    <t>专家评估</t>
  </si>
  <si>
    <t>责任人</t>
  </si>
  <si>
    <t>功能点
类别</t>
  </si>
  <si>
    <t>功能点
子类</t>
  </si>
  <si>
    <t>功能复杂度等级</t>
  </si>
  <si>
    <t>评估工作量
(人日)</t>
  </si>
  <si>
    <t>预估费用
（万元）</t>
  </si>
  <si>
    <t>调整后总工作量（人日）=</t>
  </si>
  <si>
    <t>需求流程
管理评估</t>
  </si>
  <si>
    <t>需求分析</t>
  </si>
  <si>
    <t>包括前期需求调研、方案沟通</t>
  </si>
  <si>
    <t>调整因子</t>
  </si>
  <si>
    <t>响应速度</t>
  </si>
  <si>
    <t>5事务处理响应时间是毫秒级的</t>
  </si>
  <si>
    <t>需求评审</t>
  </si>
  <si>
    <t>需求评审、方案上会评审等</t>
  </si>
  <si>
    <t>集成环境复杂性</t>
  </si>
  <si>
    <t>4采用了数据库分布式技术</t>
  </si>
  <si>
    <t>测试联调</t>
  </si>
  <si>
    <t>包括需求测试、业务测试、全流程穿测、接口联调等</t>
  </si>
  <si>
    <t>可靠性</t>
  </si>
  <si>
    <t>3应用系统采用了双机热备(数据+应用)措施</t>
  </si>
  <si>
    <t>版本发布</t>
  </si>
  <si>
    <t>版本发布等</t>
  </si>
  <si>
    <t>系统设计容量</t>
  </si>
  <si>
    <t>3系统设计数据容量1TB至100TB</t>
  </si>
  <si>
    <t>未调整总工作量（人日）=</t>
  </si>
  <si>
    <t>AI视频平台私有化部署</t>
  </si>
  <si>
    <t>环境部署</t>
  </si>
  <si>
    <t>服务器环境规划与搭建</t>
  </si>
  <si>
    <t>服务器环境规划、网络配置</t>
  </si>
  <si>
    <t>实施类</t>
  </si>
  <si>
    <t>主机配置</t>
  </si>
  <si>
    <t>C级</t>
  </si>
  <si>
    <t>B级</t>
  </si>
  <si>
    <t>Docker/K8s安装</t>
  </si>
  <si>
    <t>容器化环境配置</t>
  </si>
  <si>
    <t>应用部署</t>
  </si>
  <si>
    <t>D级</t>
  </si>
  <si>
    <t>内网安全规划</t>
  </si>
  <si>
    <t>网络策略配置，防火墙规则</t>
  </si>
  <si>
    <t>网络策略配置</t>
  </si>
  <si>
    <t>对象存储配置</t>
  </si>
  <si>
    <t>视频素材存储规划与配置</t>
  </si>
  <si>
    <t>存储扩容配置</t>
  </si>
  <si>
    <t>视频剪辑制作</t>
  </si>
  <si>
    <t>时间轴编辑</t>
  </si>
  <si>
    <t>多轨道时间轴编辑、图层叠加</t>
  </si>
  <si>
    <t>界面类</t>
  </si>
  <si>
    <t>新增单个页面</t>
  </si>
  <si>
    <t>转场特效</t>
  </si>
  <si>
    <t>转场效果、滤镜工具</t>
  </si>
  <si>
    <t>FFmpeg转码服务</t>
  </si>
  <si>
    <t>多格式转码、代理文件生成</t>
  </si>
  <si>
    <t>业务逻辑类</t>
  </si>
  <si>
    <t>新增业务逻辑</t>
  </si>
  <si>
    <t>流程类</t>
  </si>
  <si>
    <t>配置流程新增流程</t>
  </si>
  <si>
    <t>导出参数配置</t>
  </si>
  <si>
    <t>MP4/MOV/MXF等格式导出</t>
  </si>
  <si>
    <t>实时预览</t>
  </si>
  <si>
    <t>低分辨率代理文件预览</t>
  </si>
  <si>
    <t>多人协作</t>
  </si>
  <si>
    <t>在线状态同步</t>
  </si>
  <si>
    <t>多人实时在线状态显示</t>
  </si>
  <si>
    <t>接口类</t>
  </si>
  <si>
    <t>提供方新增接口</t>
  </si>
  <si>
    <t>操作同步</t>
  </si>
  <si>
    <t>实时操作广播与同步</t>
  </si>
  <si>
    <t>历史版本管理</t>
  </si>
  <si>
    <t>版本记录、回滚能力</t>
  </si>
  <si>
    <t>锁定机制</t>
  </si>
  <si>
    <t>编辑锁定、冲突检测</t>
  </si>
  <si>
    <t>时间轴批注</t>
  </si>
  <si>
    <t>精准时间点批注与讨论</t>
  </si>
  <si>
    <t>素材管理</t>
  </si>
  <si>
    <t>大文件上传</t>
  </si>
  <si>
    <t>分片上传、断点续传</t>
  </si>
  <si>
    <t>缩略图生成</t>
  </si>
  <si>
    <t>视频缩略图自动生成</t>
  </si>
  <si>
    <t>搜索引擎</t>
  </si>
  <si>
    <t>全文检索、标签搜索</t>
  </si>
  <si>
    <t>版本管理</t>
  </si>
  <si>
    <t>素材版本历史记录</t>
  </si>
  <si>
    <t>标签分类</t>
  </si>
  <si>
    <t>自定义元数据、分类管理</t>
  </si>
  <si>
    <t>项目管理审批</t>
  </si>
  <si>
    <t>项目基本管理</t>
  </si>
  <si>
    <t>项目创建、成员管理、任务分配</t>
  </si>
  <si>
    <t>多级审批</t>
  </si>
  <si>
    <t>初审、复审、终审配置</t>
  </si>
  <si>
    <t>甘特图</t>
  </si>
  <si>
    <t>项目进度甘特图展示</t>
  </si>
  <si>
    <t>多渠道推送</t>
  </si>
  <si>
    <t>邮件/企业微信通知推送</t>
  </si>
  <si>
    <t>用户管理</t>
  </si>
  <si>
    <t>单点登录</t>
  </si>
  <si>
    <t>对接企业SSO/LDAP/AD</t>
  </si>
  <si>
    <t>消费方新增接口</t>
  </si>
  <si>
    <t>多级组织</t>
  </si>
  <si>
    <t>多级组织架构管理</t>
  </si>
  <si>
    <t>角色权限</t>
  </si>
  <si>
    <t>项目/素材/功能级权限配置</t>
  </si>
  <si>
    <t>批量授权</t>
  </si>
  <si>
    <t>批量赋权、角色模板</t>
  </si>
  <si>
    <t>运维管理</t>
  </si>
  <si>
    <t>资源监控</t>
  </si>
  <si>
    <t>CPU/内存/存储/网络监控</t>
  </si>
  <si>
    <t>告警规则</t>
  </si>
  <si>
    <t>阈值告警、邮件推送</t>
  </si>
  <si>
    <t>操作日志</t>
  </si>
  <si>
    <t>完整操作日志、安全审计</t>
  </si>
  <si>
    <t>数据处理类</t>
  </si>
  <si>
    <t>数据稽核</t>
  </si>
  <si>
    <t>自动备份</t>
  </si>
  <si>
    <t>增量备份、灾备策略配置</t>
  </si>
  <si>
    <t>数据配置</t>
  </si>
  <si>
    <t>安全加固测试</t>
  </si>
  <si>
    <t>漏洞扫描</t>
  </si>
  <si>
    <t>Web漏洞扫描、渗透测试</t>
  </si>
  <si>
    <t>加固措施</t>
  </si>
  <si>
    <t>漏洞修复、加密配置加固</t>
  </si>
  <si>
    <t>功能测试</t>
  </si>
  <si>
    <t>全功能回归测试</t>
  </si>
  <si>
    <t>压力测试</t>
  </si>
  <si>
    <t>并发用户压力测试</t>
  </si>
  <si>
    <t>推广类</t>
  </si>
  <si>
    <t>生产环境压力测试</t>
  </si>
  <si>
    <t>OPC创业注册服务</t>
  </si>
  <si>
    <t>注册入驻首页搭建</t>
  </si>
  <si>
    <t>企业入驻专属首页页面制作、注册流程步骤可视化展示、入驻政策公告弹窗、新手入驻引导提示配置</t>
  </si>
  <si>
    <t>入驻资格前置校验</t>
  </si>
  <si>
    <t>入驻主体类型筛选、入驻条件规则配置、资格自动判断、不符合条件弹窗提示与拦截控制</t>
  </si>
  <si>
    <t>企业基础信息表单填报</t>
  </si>
  <si>
    <t>企业名称、法人信息、注册地址、联系方式、经营类目基础字段填报，前端实时格式校验、数据非空校验</t>
  </si>
  <si>
    <t>企业信息重复合规校验</t>
  </si>
  <si>
    <t>企业名称重复检测、法人信息重复校验、敏感关键词过滤、违规信息拦截与合规数据清洗</t>
  </si>
  <si>
    <t>资质证照上传功能开发</t>
  </si>
  <si>
    <t>营业执照、法人身份证、经营资质材料分片上传、图片格式限制、大小校验、上传进度实时展示</t>
  </si>
  <si>
    <t>资质图片压缩与预处理</t>
  </si>
  <si>
    <t>上传图片自动压缩、分辨率适配、水印添加、图片合规预处理、存储路径分类管理</t>
  </si>
  <si>
    <t>数据加工</t>
  </si>
  <si>
    <t>工商政务接口基础对接</t>
  </si>
  <si>
    <t>工商主体核验外网接口对接、请求参数加密配置、接口签名加密、基础接口连通调试与环境适配</t>
  </si>
  <si>
    <t>政务数据回调接收处理</t>
  </si>
  <si>
    <t>工商接口异步回调接收、回调数据解密、数据格式解析、异常回调拦截与重试机制配置</t>
  </si>
  <si>
    <t>注册流程节点状态管控</t>
  </si>
  <si>
    <t>注册草稿、已提交、审核中、已通过、已驳回全状态流转，状态互斥控制、页面状态实时同步</t>
  </si>
  <si>
    <t>注册驳回修改重提功能</t>
  </si>
  <si>
    <t>审核驳回原因展示、对应字段高亮修改、资料补传重提、历史修改记录留存归档</t>
  </si>
  <si>
    <t>补贴政策后台配置管理</t>
  </si>
  <si>
    <t>补贴政策新增编辑删除、申领条件配置、补贴额度设置、政策上下架状态管控</t>
  </si>
  <si>
    <t>补贴在线申领信息填报</t>
  </si>
  <si>
    <t>企业补贴申领表单填报、企业信息自动回填、申领资料补充上传、申领信息预校验</t>
  </si>
  <si>
    <t>补贴多级审批流程配置</t>
  </si>
  <si>
    <t>补贴初审、复审、终审流程节点配置、审批权限绑定、审批意见填写、流程流转跳转控制</t>
  </si>
  <si>
    <t>OPC企业后台台账管理</t>
  </si>
  <si>
    <t>后台企业注册列表查询、企业信息查看、账号启停管控、注册记录归档、数据批量导出</t>
  </si>
  <si>
    <t>订单管理模块</t>
  </si>
  <si>
    <t>订单发布基础页面制作</t>
  </si>
  <si>
    <t>需求方订单发布页面搭建、订单基础信息录入字段布局、素材上传入口UI交互制作</t>
  </si>
  <si>
    <t>订单发布信息填报校验</t>
  </si>
  <si>
    <t>订单标题、题材、剧情、周期、预算、交付格式填报，字段非空及数值合规校验</t>
  </si>
  <si>
    <t>订单参考素材上传管理</t>
  </si>
  <si>
    <t>剧本、分镜图、风格参考图上传存储、素材关联订单、素材预览及删除管理</t>
  </si>
  <si>
    <t>订单公开列表展示页面</t>
  </si>
  <si>
    <t>前台公开订单列表页面制作、基础订单信息卡片展示、列表分页布局适配</t>
  </si>
  <si>
    <t>订单多条件筛选检索功能</t>
  </si>
  <si>
    <t>按题材类型、预算区间、制作周期、发布时间筛选，检索条件联动过滤、结果实时刷新</t>
  </si>
  <si>
    <t>订单详情查看页面开发</t>
  </si>
  <si>
    <t>订单完整需求详情展示、参考素材预览、接单要求展示、合作信息查看页面制作</t>
  </si>
  <si>
    <t>创作者一键接单功能开发</t>
  </si>
  <si>
    <t>创作者接单按钮交互、接单资格校验、接单记录生成、接单操作日志留存</t>
  </si>
  <si>
    <t>需求方定向选合作方确认</t>
  </si>
  <si>
    <t>需求方选择创作者合作、订单合作确认、双方消息通知、订单锁定状态变更</t>
  </si>
  <si>
    <t>订单防重复接单冲突控制</t>
  </si>
  <si>
    <t>订单接单锁定机制、并发接单拦截、订单状态互斥保护、重复操作防重校验</t>
  </si>
  <si>
    <t>订单制作进度节点配置</t>
  </si>
  <si>
    <t>分镜初稿、配音完成、成片交付等进度节点自定义配置、节点名称与排序管理</t>
  </si>
  <si>
    <t>创作者进度更新与成果上传</t>
  </si>
  <si>
    <t>创作者更新各阶段制作进度、阶段性作品上传、进度备注填写、成果记录留存</t>
  </si>
  <si>
    <t>需求方进度实时查看提醒</t>
  </si>
  <si>
    <t>需求方实时查看订单制作进度、节点到期提醒、进度变更消息推送、逾期预警通知</t>
  </si>
  <si>
    <t>作品成品在线预览功能</t>
  </si>
  <si>
    <t>交付漫剧成品在线播放预览、播放控制、画质适配、预览权限管控</t>
  </si>
  <si>
    <t>订单验收通过确认流程</t>
  </si>
  <si>
    <t>需求方验收确认操作、验收意见填写、订单状态变更为完成、自动进入结算流程触发</t>
  </si>
  <si>
    <t>验收不通过修改协商流程</t>
  </si>
  <si>
    <t>验收驳回修改申请、修改原因填写、双方协商记录留存、重新提交验收流转控制</t>
  </si>
  <si>
    <t>结算管理与合作分成</t>
  </si>
  <si>
    <t>订单托管资金入账冻结</t>
  </si>
  <si>
    <t>需求方付款后资金进入平台托管账户、资金冻结标记、托管资金台账生成、资金暂不划拨控制</t>
  </si>
  <si>
    <t>资金托管状态周期管控</t>
  </si>
  <si>
    <t>托管资金冻结、解冻、退回状态管控，资金状态变更日志记录、资金变动实时对账</t>
  </si>
  <si>
    <t>多角色分润比例后台配置</t>
  </si>
  <si>
    <t>创作者、平台、版权方、合作方分润比例配置，基础分成规则固定参数设置</t>
  </si>
  <si>
    <t>订单类型差异化分润方案</t>
  </si>
  <si>
    <t>按订单类型、订单金额等级配置不同分润梯度，分润方案自动匹配对应订单</t>
  </si>
  <si>
    <t>订单验收后自动分润核算</t>
  </si>
  <si>
    <t>订单完成后自动计算各方佣金、平台服务费、税费抵扣、分润金额精准核算</t>
  </si>
  <si>
    <t>分润资金自动分配划拨</t>
  </si>
  <si>
    <t>核算完成后资金自动拆分至各方账户、资金划拨记录生成、分润明细可追溯查询</t>
  </si>
  <si>
    <t>用户个人账户资产账单展示</t>
  </si>
  <si>
    <t>个人中心可提现余额、待结算订单、已结算记录账单展示，收支明细实时统计</t>
  </si>
  <si>
    <t>多渠道提现账户绑定管理</t>
  </si>
  <si>
    <t>微信、支付宝、银行卡收款账户绑定、账户信息校验、绑定记录维护管理</t>
  </si>
  <si>
    <t>用户提现申请提交功能</t>
  </si>
  <si>
    <t>用户自主发起提现申请、提现金额校验、申请记录生成、提现状态初始化为待审核</t>
  </si>
  <si>
    <t>后台提现审核与周期打款</t>
  </si>
  <si>
    <t>后台提现申请审核通过/驳回、审核意见填写、周期统一打款、打款状态更新</t>
  </si>
  <si>
    <t>提现凭证生成与记录留存</t>
  </si>
  <si>
    <t>提现完成后自动生成电子提现凭证、凭证下载、提现全流程记录归档留存</t>
  </si>
  <si>
    <t>平台交易流水台账统计</t>
  </si>
  <si>
    <t>后台全量交易流水、托管资金、分润提现明细汇总，基础财务数据台账生成</t>
  </si>
  <si>
    <t>多维度财务报表导出功能</t>
  </si>
  <si>
    <t>按时间、订单、角色维度筛选报表，财务数据Excel导出、营收统计数据汇总</t>
  </si>
  <si>
    <t>报表类</t>
  </si>
  <si>
    <t>新增报表</t>
  </si>
  <si>
    <t>退款取消订单异常结算处理</t>
  </si>
  <si>
    <t>订单退款、取消、纠纷场景手动结算干预，资金原路退回、冻结释放操作开发</t>
  </si>
  <si>
    <t>财务操作全流程日志审计留痕</t>
  </si>
  <si>
    <t>所有结算、分润、提现、异常调整操作全程日志记录，审计追溯、操作记录不可篡改</t>
  </si>
  <si>
    <t>-审议结果</t>
  </si>
  <si>
    <t>长途传输局1楼会议室</t>
  </si>
  <si>
    <t>一级功能模块</t>
  </si>
  <si>
    <t>功能点类别</t>
  </si>
  <si>
    <t>需求数量</t>
  </si>
  <si>
    <t>厂家报工作量（人日）</t>
  </si>
  <si>
    <t>核实工作量（人日）</t>
  </si>
  <si>
    <t>预估不含税单价（人日/元）</t>
  </si>
  <si>
    <t>预估费用（万元）</t>
  </si>
  <si>
    <t>合计</t>
  </si>
  <si>
    <t>预估费用取整</t>
  </si>
  <si>
    <t>会议时间：</t>
  </si>
  <si>
    <t>会议地点：</t>
  </si>
  <si>
    <t xml:space="preserve">    需求提出部门：云网运营事业部【19】项【106.7】万元；，渠道终端销售部【3】项【17.4】万元；，市场经营部【5】项【13.9】万元；，数字生活与产品创新中心【8】项【22.3】万元；，10000号客户服务中心【2】项【3.4】万元；，财务部【1】项【0.5】万元；，客户服务管理部【3】项【8】万元；，网络和信息安全管理部【1】项【5.8】万元；，网络监控维护中心(NOC/SOC)【1】项【1.5】万元；</t>
  </si>
  <si>
    <t xml:space="preserve">    因现有的【BSS 3.0-受理中心】等系统由【中电福富信息科技有限公司】建设，本次采购为在原有系统上进行的软件开发，因此建议采用单一来源方式发起采购，与【中电福富信息科技有限公司】定向谈判。</t>
  </si>
  <si>
    <t xml:space="preserve">    总合计评审费用:【179】万元；大写:【壹佰柒拾玖万元整】,详见清单。</t>
  </si>
  <si>
    <t xml:space="preserve">    说明：以上预估费用均为不含税费用(税率6%)，工作量评审结果仅作为商务谈判的参考，最终以采购商务谈判结果为准！</t>
  </si>
  <si>
    <t>需求责任人
及评审人员
(签字)</t>
  </si>
  <si>
    <t>需求管理主管
(签字)</t>
  </si>
  <si>
    <t>需求实施主管
    (签字)</t>
  </si>
  <si>
    <t>项目管理主管
    (签字)</t>
  </si>
  <si>
    <t>大数据和
AI中心主任
(签字)</t>
  </si>
  <si>
    <t xml:space="preserve">   云网运营事业部
总经理
(签字/盖章)</t>
  </si>
  <si>
    <t>xm</t>
  </si>
  <si>
    <t>评审单位：</t>
  </si>
  <si>
    <t>项目经理：</t>
  </si>
  <si>
    <t>张三189xxxxxxxx</t>
  </si>
  <si>
    <t>评审小组
人员：</t>
  </si>
  <si>
    <t>张三189xxxxxxxx、张三189xxxxxxxx、张三189xxxxxxxx</t>
  </si>
  <si>
    <t>功能复杂度
等级</t>
  </si>
  <si>
    <t>上报工作量
(人日)</t>
  </si>
  <si>
    <t>评审工作量
（人日）</t>
  </si>
  <si>
    <t>审议结果</t>
  </si>
  <si>
    <t>对应技术方案
需求文档章节</t>
  </si>
  <si>
    <t>复杂度
系数说明</t>
  </si>
  <si>
    <t>需求流程管理评估</t>
  </si>
  <si>
    <t>需求沟通分析及确认</t>
  </si>
  <si>
    <t>包括前期需求方案沟通、需求评审等</t>
  </si>
  <si>
    <t>1、客户信息查询响应时间要求是5秒之内</t>
  </si>
  <si>
    <t>示例：P?页：6.1.1性能要求</t>
  </si>
  <si>
    <t>1、采用应用分布式式技术，HADOOP</t>
  </si>
  <si>
    <t>示例：P?页：6.1.2技术要求</t>
  </si>
  <si>
    <t>1、要求全业务容灾</t>
  </si>
  <si>
    <t>示例：P?页：6.1.3可靠性要求</t>
  </si>
  <si>
    <t>1、80TB数据容量</t>
  </si>
  <si>
    <t>4系统设计数据容量100TB至1000TB</t>
  </si>
  <si>
    <t>示例：P?页：6.1.4系统容量要求</t>
  </si>
  <si>
    <t>示例：01_分摊配置</t>
  </si>
  <si>
    <t>01_分摊配置能力提升</t>
  </si>
  <si>
    <t>01_公允价值配置管理</t>
  </si>
  <si>
    <t>示例：公允值新增</t>
  </si>
  <si>
    <t>A级</t>
  </si>
  <si>
    <t>示例：P?页：4.1.1.1 公允值配置管理</t>
  </si>
  <si>
    <t>示例：公允值修改</t>
  </si>
  <si>
    <t>修改已有页面</t>
  </si>
  <si>
    <t>示例：P?页：4.1.1.2 公允值配置管理</t>
  </si>
  <si>
    <t>示例：公允值查询</t>
  </si>
  <si>
    <t>示例：P?页：4.1.1.3 公允值配置管理</t>
  </si>
  <si>
    <t>02_销售品分摊规则配置管理</t>
  </si>
  <si>
    <t>示例：销售品分摊规则新增</t>
  </si>
  <si>
    <t>调整业务逻辑</t>
  </si>
  <si>
    <t>示例：P?页：4.1.1.2 销售品分摊规则配置管理</t>
  </si>
  <si>
    <t>示例：销售品分摊规则修改</t>
  </si>
  <si>
    <t>示例：P?页：4.1.1.3 销售品分摊规则配置管理</t>
  </si>
  <si>
    <t>示例：销售品分摊规则删除</t>
  </si>
  <si>
    <t>示例：P?页：4.1.1.4 销售品分摊规则配置管理</t>
  </si>
  <si>
    <t>示例：销售品分摊规则查询</t>
  </si>
  <si>
    <t>修改接口</t>
  </si>
  <si>
    <t>示例：P?页：4.1.1.5 销售品分摊规则配置管理</t>
  </si>
  <si>
    <t>02_二级功能模块名称</t>
  </si>
  <si>
    <t>01_三级功能模块名称</t>
  </si>
  <si>
    <t>01_功能点</t>
  </si>
  <si>
    <t>纵向接口联调</t>
  </si>
  <si>
    <t>示例：P?页：5.1.1.生产环境压力测试</t>
  </si>
  <si>
    <t>2_功能点</t>
  </si>
  <si>
    <t>示例：P?页：6.1.1.5 纵向接口联调</t>
  </si>
  <si>
    <t>02_三级功能模块名称</t>
  </si>
  <si>
    <t>配置流程修改流程</t>
  </si>
  <si>
    <t>…..</t>
  </si>
  <si>
    <t>变更报表</t>
  </si>
  <si>
    <t>配置报表</t>
  </si>
  <si>
    <t>新增导出模板</t>
  </si>
  <si>
    <t>已有导出模板修改</t>
  </si>
  <si>
    <t>新增导入功能</t>
  </si>
  <si>
    <t>已有导入功能修改</t>
  </si>
  <si>
    <t>临时取数</t>
  </si>
  <si>
    <t>数据批量修改</t>
  </si>
  <si>
    <t>数据测算</t>
  </si>
  <si>
    <t>功能点子类编码</t>
  </si>
  <si>
    <t>功能点子类</t>
  </si>
  <si>
    <t>基准工作量(人日)</t>
  </si>
  <si>
    <t>功能点类别说明</t>
  </si>
  <si>
    <t>复杂度系数说明</t>
  </si>
  <si>
    <t>复杂度</t>
  </si>
  <si>
    <t>调整系数</t>
  </si>
  <si>
    <t>0101</t>
  </si>
  <si>
    <t>增加一个新的页面(或窗口界面)。页面(或窗口界面)功能是指向通过前台用户界面向用户提供的功能点，原则上包含页面(或窗口界面)的所有展现逻辑和相关处理逻辑，例如：清单查询页面功能包含了清单查询输入页面展现、获取清单数据、展现清单查询结果等。</t>
  </si>
  <si>
    <t>A级:界面展示信息(动态元素)0-10个。动态元素指从后台服务获取的数据项或者动画元素。
B级:界面展示信息(动态元素)11-20个
C级:界面展示信息(动态元素)21-30个
D级:界面展示信息(动态元素)大于30个</t>
  </si>
  <si>
    <t>0102</t>
  </si>
  <si>
    <t>修改已有的页面或窗口界面</t>
  </si>
  <si>
    <t>A级:页面细节调整，调整点1-10个
B级:页面细节调整，调整点11-20个
C级:页面细节调整，调整点21-30个
D级:页面细节调整，调整点大于30个</t>
  </si>
  <si>
    <t>0201</t>
  </si>
  <si>
    <t>增加新的业务逻辑。业务逻辑指没有用户界面的后台应用程序的业务逻辑(后台服务处理逻辑、后台定时任务处理逻辑等)，例如话单采集、批价处理等。在特殊情况下，可以是前台复杂业务逻辑，仅当前台处理逻辑相当复杂，难以包含在界面类等功能点工作量中时才考虑使用。不包含页面上的简单处理逻辑、报表指标的简单生成逻辑、流程环节的简单流转逻辑、接口的简单处理逻辑等，相关逻辑的工作量应包含在界面类、报表类、流程类、接口类的功能点中。</t>
  </si>
  <si>
    <t>A级:业务逻辑简单：例如：在CRM后台逻辑中增加涉及到1-8个实体对象(表)的操作(包含查、增、删、改)，如用户基本信息查询在计费后台逻辑中增加1-3个参数或因子、增加监控、处理进程调整等在MSS后台逻辑中增加赠送物资入项目库调用项目预算的逻辑在OSS后台逻辑中增加业务判断点少于3个。
B级:复杂度一般：例如：在CRM后台逻辑中增加8个以上实体对象操作，业务逻辑中包含外部接口调用，且对接口调用进行判断校验和解析处理，如客户信息录入(包含身份证读卡识别)在计费后台逻辑中增加参数同时进行参数校验，处理日志优化，消息报文新增值并解析入库等在MSS后台逻辑中增加总部根据推荐采购方式不同带出不同采购建议单的业务逻辑在OSS后台逻辑中增加业务判断点在3-10个。
C级:复杂度中等：例如：在CRM后台逻辑中增加批量数据操作，且批量操作数据需要后续监控处理的，如套餐到期提醒，并记录提醒成功、失败标志等在计费后台逻辑中增加计费事件、账务事件，数据模型调整增加字段，新增文件交互等在MSS后台逻辑中增加跨省调拨不同法人业务逻辑处理在OSS后台逻辑中增加业务判断点在10-15个。
D级:复杂度高等：例如：在CRM后台逻辑中增加当前系统模型无法支持该业务逻辑，需要涉及模型改造(包含对原有模型的改造和新增)才能支持在计费后台逻辑中增加出账规则、计费规则、结算规则调整，内存模型、内存计算方式、内存架构调整，新增消息交互流程等在MSS后台逻辑中增加个人工作台长期挂账多级视图。</t>
  </si>
  <si>
    <t>0202</t>
  </si>
  <si>
    <t>修改已有的业务逻辑。</t>
  </si>
  <si>
    <t>A级:业务逻辑简单：例如：在CRM后台逻辑中修改涉及到1-8个实体对象(表)的操作(包含查、增、删、改)，如用户基本信息查询在计费后台逻辑中修改1-3个参数或因子、增加监控、处理进程调整等在MSS后台逻辑中修改赠送物资入项目库调用项目预算的逻辑在OSS后台逻辑中修改业务判断点少于3个。
B级:复杂度一般例如：在CRM后台逻辑中修改8个以上实体对象操作，业务逻辑中包含外部接口调用，且对接口调用进行判断校验和解析处理，如客户信息录入(包含身份证读卡识别)在计费后台逻辑中修改参数同时进行参数校验，处理日志优化，消息报文新增值并解析入库等在MSS后台逻辑中修改总部根据推荐采购方式不同带出不同采购建议单的业务逻辑在OSS后台逻辑中增加业务判断点在15个以上在OSS后台逻辑中修改业务判断点在3-10个。
C级:复杂度中等：例如：在CRM后台逻辑中修改批量数据操作，且批量操作数据需要后续监控处理的，如套餐到期提醒，并记录提醒成功、失败标志等在计费后台逻辑中修改计费事件、账务事件，数据模型调整增加字段，新增文件交互等在MSS后台逻辑中修改跨省调拨不同法人业务逻辑处理在OSS后台逻辑中修改业务判断点在10-15个。
D级:复杂度高等：例如：在CRM后台逻辑中修改当前系统模型无法支持该业务逻辑在计费后台逻辑中修改出账规则、计费规则、结算规则调整，内存模型、内存计算方式、内存架构调整，新增消息交互流程等。在MSS后台逻辑中修改个人工作台长期挂账多级视图在OSS后台逻辑中修改业务判断点在15个以上。</t>
  </si>
  <si>
    <t>0301</t>
  </si>
  <si>
    <t>系统作为服务提供方向外部系统提供的接口。此工作量已包含所有横向系统(仅在集团层面或仅在省层面)的联调工作量，但不包含集团-省两级纵向接口联调的工作量，纵向接口联调的工作量通过纵向接口联调子类型反映。</t>
  </si>
  <si>
    <t>A级:涉及业务字段1-10个
B级:涉及业务字段11-30个
C级:涉及业务字段31-60个
D级:涉及业务字段大于60个</t>
  </si>
  <si>
    <t>0302</t>
  </si>
  <si>
    <t>系统作为服务消费方调用外部系统提供的接口。此工作量包含所有横向系统的联调工作量，不包含两级纵向接口联调的工作量，纵向接口联调的工作量通过纵向接口联调子类型反映</t>
  </si>
  <si>
    <t>A级:涉及业务字段1-10个
B级:涉及业务字段11-30个
C级:涉及业务字段31-60个
D级:涉及业务字段大于60</t>
  </si>
  <si>
    <t>0303</t>
  </si>
  <si>
    <t>修改提供方接口或消费方接口。此工作量已包含所有横向系统的联调工作量，但不包含两级纵向接口联调的工作量，纵向接口联调的工作量通过纵向接口联调子类型反映</t>
  </si>
  <si>
    <t>0304</t>
  </si>
  <si>
    <t>系统与其他系统的交互接口的联调。纵向接口联调的基准工作量和联调系统数相关，等于0.5*联调系统数</t>
  </si>
  <si>
    <t>A级:准实时分钟级接口交互(如文件)，且涉及业务字段1-15个
B级:准实时分钟级接口交互(如文件)，且涉及业务字段大于15个
C级:实时秒级接口交互(如消息)，且涉及业务字段1-10个
D级:实时秒级接口交互(如消息)，且涉及业务字段大于10个</t>
  </si>
  <si>
    <t>0401</t>
  </si>
  <si>
    <t>配置新的业务或管理流程，包括流程环节定义、流程编排等</t>
  </si>
  <si>
    <t>A级:配置环节和控制线1-10个。
B级:配置环节和控制线11-20个
C级:配置环节和控制线21-30个
D级:配置环节和控制线大于30个</t>
  </si>
  <si>
    <t>0402</t>
  </si>
  <si>
    <t>修改业务或管理流程的配置，包括流程环节定义、流程编排等</t>
  </si>
  <si>
    <t>A级:配置环节和控制线1-5个
B级:配置环节和控制线6-10个
C级:配置环节和控制线11-20个
D级:配置环节和控制线大于20个</t>
  </si>
  <si>
    <t>0501</t>
  </si>
  <si>
    <t>以程序开发的方式增加新报表</t>
  </si>
  <si>
    <t>A级:报表元素1-5个
B级:报表元素在6-10个
C级:报表元素在11-20个
D级:报表元素大于20个</t>
  </si>
  <si>
    <t>0502</t>
  </si>
  <si>
    <t>以程序开发的方式修改原报表</t>
  </si>
  <si>
    <t>0503</t>
  </si>
  <si>
    <t>使用报表配置工具配置新报表</t>
  </si>
  <si>
    <t>A级:报表字段1-15个
B级:报表字段16-30个
C级:报表字段31-50个
D级:报表字段50个以上</t>
  </si>
  <si>
    <t>0601</t>
  </si>
  <si>
    <t>新增导出数据的模板，如导出EXCEL文件数据、PDF文件数据或文本文件数据等</t>
  </si>
  <si>
    <t>A级:导出信息1-10个
B级:导出信息11个-20个
C级:导出信息21个-30个
D级:导出信息大于30个</t>
  </si>
  <si>
    <t>0602</t>
  </si>
  <si>
    <t>修改已有导出数据的模板</t>
  </si>
  <si>
    <t>A级:修改点1-10个
B级:修改点11-20个
C级:修改点21-30个
D级:修改点大于30个</t>
  </si>
  <si>
    <t>0603</t>
  </si>
  <si>
    <t>新增批量导入数据的功能</t>
  </si>
  <si>
    <t>A级:基于单张表导入数据，简单逻辑
B级:基于单张表导入数据，复杂逻辑
C级:基于多张表导入数据，简单逻辑
D级:基于多张表导入数据，复杂逻辑</t>
  </si>
  <si>
    <t>0604</t>
  </si>
  <si>
    <t>修改已有批量导入数据的功能，如导入EXCEL文件数据、文本文件数据等</t>
  </si>
  <si>
    <t>A级:基于单张表修改导入功能，简单逻辑
B级:基于单张表修改导入功能，复杂逻辑
C级:基于多张表修改导入功能，简单逻辑
D级:基于多张表修改导入功能，复杂逻辑</t>
  </si>
  <si>
    <t>0605</t>
  </si>
  <si>
    <t>根据业务部门临时性的、针对特定需求提供数据</t>
  </si>
  <si>
    <t>A级:基于单张表直接取数，简单逻辑
B级:基于单张表直接取数，复杂逻辑
C级:基于多张表直接取数，简单逻辑
D级:基于多表直接取数，复杂逻辑</t>
  </si>
  <si>
    <t>0606</t>
  </si>
  <si>
    <t>对数据进行批量修改，如对主数据编码进行批量更新</t>
  </si>
  <si>
    <t>A级:基于单张表修改数据，简单逻辑
B级:基于单张表修改数据，复杂逻辑
C级:基于多张表修改数据，简单逻辑
D级:基于多张表修改数据，复杂逻辑</t>
  </si>
  <si>
    <t>0607</t>
  </si>
  <si>
    <t>配置系统需要的数据，包括业务数据配置、系统数据配置等，如业务规则配置、系统参数配置等等</t>
  </si>
  <si>
    <t>A级:基于单张表配置数据，简单逻辑
B级:基于单张表配置数据，复杂逻辑
C级:基于多张表配置数据，简单逻辑
D级:基于多张表配置数据，复杂逻辑</t>
  </si>
  <si>
    <t>0608</t>
  </si>
  <si>
    <t>根据稽核规则进行数据采集、比对、差异分析等</t>
  </si>
  <si>
    <t>A级:基于单张表取数稽核，简单逻辑
B级:基于单张表取数稽核，复杂逻辑
C级:基于多张表取数稽核，简单逻辑
D级:基于多张表取数稽核，复杂逻辑</t>
  </si>
  <si>
    <t>0609</t>
  </si>
  <si>
    <t>根据业务需求对数据进行加工处理，如补充数据、拆分数据、合并数据等等</t>
  </si>
  <si>
    <t>A级:基于单张表进行数据加工，简单逻辑
B级:基于单张表进行数据加工，复杂逻辑
C级:基于多张表进行数据加工，简单逻辑
D级:基于多张表进行数据加工，复杂逻辑</t>
  </si>
  <si>
    <t>0610</t>
  </si>
  <si>
    <t>根据业务需求进行数据预处理、模型假设、模型设计与实现、模型评估等，如过网话务量与实际话务量之间的关系模型测算</t>
  </si>
  <si>
    <t>A级:基于单张表取数测算，简单逻辑
B级:基于单张表取数测算，复杂逻辑
C级:基于多张表取数测算，简单逻辑
D级:基于多张表取数测算，复杂逻辑</t>
  </si>
  <si>
    <t>0701</t>
  </si>
  <si>
    <t>指因cpu扩容、内存扩容导致的主机配置实施工作</t>
  </si>
  <si>
    <t>A级:涉及1-10台主机(含虚拟机)
B级:涉及11-20台主机(含虚拟机)
C级:涉及21-100台主机(含虚拟机)
D级:大于100台主机(含虚拟机)</t>
  </si>
  <si>
    <t>0702</t>
  </si>
  <si>
    <t>指因存储空间扩容导致的配置工作实施工作</t>
  </si>
  <si>
    <t>A级:1-10台应用主机存储扩容配置
B级:10台以上应用主机存储扩容配置
C级:1-5套物理数据库存储扩容配置
D级:5套以上物理数据库存储扩容配置</t>
  </si>
  <si>
    <t>0703</t>
  </si>
  <si>
    <t xml:space="preserve">指网络参数配置实施工作 </t>
  </si>
  <si>
    <t>A级:网络策略逻辑简单，所需配置网络节点数1-2个
B级:复杂度一般，所需配置网络节点数3-5个
C级:复杂度中等，所需配置网络节点数6-10个
D级:复杂度高等，所需配置网络节点数大于10个</t>
  </si>
  <si>
    <t>0704</t>
  </si>
  <si>
    <t>指平台、应用部署实施工作</t>
  </si>
  <si>
    <t>A级:平台、应用部署简单，对相应服务简单部署、启动即可
B级:平台、应用部署后，单服务参数配置复杂，参数调整在1-5个之间
C级:平台、应用存在两种依赖关系或单点登录关系，并且参数调整在5个以上
D级:部署复杂，需要依赖两个及以上组件，并且配置参数在10个以上</t>
  </si>
  <si>
    <t>0801</t>
  </si>
  <si>
    <t>业务差异分析</t>
  </si>
  <si>
    <t>指对省业务与集团业务进行差异分析的工作。各省业务模式和数据标准存在差异，需要以集团集中系统的业务和数据模板进行对标，并对差异分析后定位出：1、省内业务管理变革点  2、集中系统优化点 3、数据清理任务。包含需求调研、蓝图对标确认、原型展示，按业务方案或专业性流程。</t>
  </si>
  <si>
    <t>A级:单系统简单的方案和流程
B级:单系统复杂的方案和流程
C级:多系统跨流程的简单方案和流程
D级:多系统跨流程的复杂方案和流程</t>
  </si>
  <si>
    <t>0802</t>
  </si>
  <si>
    <t>参数配置</t>
  </si>
  <si>
    <t>指在推广系统上进行系统或业务参数配置的工作。含系统参数配置、系统权限配置、业务参数配置、业务权限配置。</t>
  </si>
  <si>
    <t>0803</t>
  </si>
  <si>
    <t>业务端到端测试</t>
  </si>
  <si>
    <t>是指业务的端到端测试工作。在准生产环境组织按照测试案例，按正常业务发起和终结进行系统操作测试，验证权限、角色、流程、数据、校验逻辑等的正确性。(以业务线为单位)；</t>
  </si>
  <si>
    <t>A级:基于单系统，简单流程
B级:基于单系统，复杂流程
C级:基于多系统，简单流程
D级:基于多系统，复杂流程</t>
  </si>
  <si>
    <t>0804</t>
  </si>
  <si>
    <t>软件升级及安装</t>
  </si>
  <si>
    <t>应用软件服务器和终端安装或版本升级；</t>
  </si>
  <si>
    <t>0805</t>
  </si>
  <si>
    <t>指在生产环境中进行的性能测试工作。根据并发用户数进行最大化性能测试，验证系统技术指标</t>
  </si>
  <si>
    <t>A级:性能测试案例1-5个
B级:性能测试案例6-10个
C级:性能测试案例11-20个
D级:性能测试案例大于20个</t>
  </si>
  <si>
    <t>0806</t>
  </si>
  <si>
    <t>数据脱敏</t>
  </si>
  <si>
    <t>指对数据进行脱敏处理的工作。对企业业务数据进行备份或导出时，对部分涉密数据进行技术处理，保护企业或个人权益，包含脱敏规则指定，程序开发，实施。(以表为单位)；</t>
  </si>
  <si>
    <t>A级:数据脱敏1-5个字段
B级:数据脱敏6-10个字段
C级:数据脱敏11-15个字段
D级:数据脱敏大于15个字段</t>
  </si>
  <si>
    <t>0807</t>
  </si>
  <si>
    <t>数据收集与清理</t>
  </si>
  <si>
    <t>指推广中需要的基础数据收集和数据清理工作。系统配置需要的权限、角色、组织等基础数据及生产运营业务数据按集团数据标准进行差异修改或清理，以满足数据切换校验。包含模板制定，模板下发，数据收集，数据沟通、数据项拆分、数据格式调整，数据字段沟通，模板调整工作量(以表为单位)；</t>
  </si>
  <si>
    <t>A级:收集与清理1-10个字段
B级:收集与清理11-20个字段
C级:收集与清理21-30个字段
D级:收集与清理大于30个字段</t>
  </si>
  <si>
    <t>0808</t>
  </si>
  <si>
    <t>数据割接</t>
  </si>
  <si>
    <t>指数据由旧系统迁移到新系统的处理工作。按照项目计划在规定时间内，按时序将原系统数据迁移至目标系统，含数据导入导出、数据校验、数据割接(以表为单位)；</t>
  </si>
  <si>
    <t>A级:割接的数据1-25个字段
B级:割接的数据26-50个字段
C级:割接的数据51-75个字段
D级:割接的数据大于75个字段</t>
  </si>
  <si>
    <t>0809</t>
  </si>
  <si>
    <t>网络验证</t>
  </si>
  <si>
    <t>指推广中需要的网络配置与验证工作。按网络规划方案进行技术验证，保证网络畅通和效率。</t>
  </si>
  <si>
    <t>A级:网络策略逻辑简单，所需配置网络节点1-2个
B级:复杂度一般，所需配置网络节点数3-5个
C级:复杂度中等，所需配置网络节点数6-10个
D级:复杂度高等，所需配置网络节点数大于10个</t>
  </si>
  <si>
    <t>影响度界定标准</t>
  </si>
  <si>
    <t>分值</t>
  </si>
  <si>
    <t>备注</t>
  </si>
  <si>
    <t>0按业务最高响应速度要求，事务处理耗时无严格要求</t>
  </si>
  <si>
    <t>1、响应速度是指系统事务的处理速度，以响应时间(从事务开始到结束)计算。
2、如果系统有多项事务处理响应时间要求不同，按最高要求来计算，例如某些事务响应时间要求是秒级的，某些事务响应时间要求是毫秒级的，则计算毫秒级。</t>
  </si>
  <si>
    <t>1事务处理响应时间在2小时以上</t>
  </si>
  <si>
    <t>2事务处理响应时间在1-2小时之间</t>
  </si>
  <si>
    <t>3事务处理响应时间是分钟级的</t>
  </si>
  <si>
    <t>4事务处理响应时间是秒级的</t>
  </si>
  <si>
    <t>0采用单机模式</t>
  </si>
  <si>
    <t xml:space="preserve">1、集群(cluster)是指多台不同的服务器中部署相同的应用。
2、分布式(distributed)是指多台不同的服务器中部署多个不同的服务模块，不同服务模块通过连接有效协同。
3、PASS是指平台即服务(Platform as a Service,简称为PaaS)，是云计算三种服务模式之一,位于云计算服务架构的中间层,是云计算服务的重要组成部分，可提供基础计算能力、应用接口和开发环境、运行环境等。 </t>
  </si>
  <si>
    <t>1采用数据库与应用服务分离模式</t>
  </si>
  <si>
    <t>2采用了传统集群技术(无采用分布式技术)</t>
  </si>
  <si>
    <t>3采用了应用分布式技术</t>
  </si>
  <si>
    <t>5采用了PAAS云技术</t>
  </si>
  <si>
    <t>0应用系统无可靠性要求</t>
  </si>
  <si>
    <t>1、双机冷备是指通过特定的操作完成数据备份，主机出现故障后状态只能恢复到特定的备份时间点。
2、双机热备是指两台服务器同时运行,保持相同状态,在一台服务器出现问题时可由另一台直接提供服务。
3、异地容灾是指在不同地域(远距离)部署多套相同的应用或者数据库，当一地发生灾难后立刻由另一地的应用或数据库接管服务。</t>
  </si>
  <si>
    <t>1应用系统采用了双机冷备措施</t>
  </si>
  <si>
    <t>2应用系统采用了双机热备(数据)措施</t>
  </si>
  <si>
    <t>4应用系统采用了数据异地容灾措施</t>
  </si>
  <si>
    <t>5应用系统采用了业务异地容灾措施</t>
  </si>
  <si>
    <t>0系统设计数据容量10GB以下</t>
  </si>
  <si>
    <t>系统设计数据容量是指预期系统可支持的最大数据存储容量</t>
  </si>
  <si>
    <t>1系统设计数据容量10GB至100GB</t>
  </si>
  <si>
    <t>2系统设计数据容量100GB至1TB</t>
  </si>
  <si>
    <t>5系统设计数据容量PB以上</t>
  </si>
  <si>
    <t>推广类(仅全国集中系统选)</t>
  </si>
  <si>
    <t>T1.界面类st1.新增单个页面</t>
  </si>
  <si>
    <t>T1.界面类st2.修改已有页面</t>
  </si>
  <si>
    <t>T2.业务逻辑类st1.新增业务逻辑</t>
  </si>
  <si>
    <t>T2.业务逻辑类st2.调整业务逻辑</t>
  </si>
  <si>
    <t>T3.接口类st1.提供方新增接口</t>
  </si>
  <si>
    <t>T3.接口类st2.消费方新增接口</t>
  </si>
  <si>
    <t>T3.接口类st3.修改接口</t>
  </si>
  <si>
    <t>T3.接口类st4.纵向接口联调</t>
  </si>
  <si>
    <t>T4.流程类st1.配置流程新增流程</t>
  </si>
  <si>
    <t>T4.流程类st2.配置流程修改流程</t>
  </si>
  <si>
    <t>T5.报表类st1.新增报表</t>
  </si>
  <si>
    <t>T5.报表类st2.变更报表</t>
  </si>
  <si>
    <t>T5.报表类st3.配置报表</t>
  </si>
  <si>
    <t>T6.数据处理类st1.新增导出模板</t>
  </si>
  <si>
    <t>T6.数据处理类st2.已有导出模板修改</t>
  </si>
  <si>
    <t>T6.数据处理类st3.新增导入功能</t>
  </si>
  <si>
    <t>T6.数据处理类st4.已有导入功能修改</t>
  </si>
  <si>
    <t>T6.数据处理类st5.临时取数</t>
  </si>
  <si>
    <t>T6.数据处理类st6.数据批量修改</t>
  </si>
  <si>
    <t>T6.数据处理类st7.数据配置</t>
  </si>
  <si>
    <t>T6.数据处理类st8.数据稽核</t>
  </si>
  <si>
    <t>T6.数据处理类st9.数据加工</t>
  </si>
  <si>
    <t>T6.数据处理类st10.数据测算</t>
  </si>
  <si>
    <t>T7.实施类st1.主机配置</t>
  </si>
  <si>
    <t>T7.实施类st2.存储扩容配置</t>
  </si>
  <si>
    <t>T7.实施类st3.网络策略配置</t>
  </si>
  <si>
    <t>T7.实施类st4应用部署</t>
  </si>
  <si>
    <t>T8.推广类st1.业务差异分析</t>
  </si>
  <si>
    <t>T8.推广类st2.参数配置</t>
  </si>
  <si>
    <t>T8.推广类st3.业务端到端测试</t>
  </si>
  <si>
    <t>T8.推广类st4.软件升级及安装</t>
  </si>
  <si>
    <t>T8.推广类st5.生产环境压力测试</t>
  </si>
  <si>
    <t>T8.推广类st6.数据脱敏</t>
  </si>
  <si>
    <t>T8.推广类st7.数据收集与清理</t>
  </si>
  <si>
    <t>T8.推广类st8.数据割接</t>
  </si>
  <si>
    <t>T8.推广类st.9 网络验证</t>
  </si>
  <si>
    <t>增加一个新的页面(或窗口界面)</t>
  </si>
  <si>
    <t>增加新的业务逻辑</t>
  </si>
  <si>
    <t>修改已有的业务逻辑</t>
  </si>
  <si>
    <t>系统作为服务提供方向外部系统提供的接口</t>
  </si>
  <si>
    <t>系统作为服务消费方调用外部系统提供的接口</t>
  </si>
  <si>
    <t>修改提供方接口或消费方接口</t>
  </si>
  <si>
    <t>系统与省份/专业子公司系统的交互接口联调</t>
  </si>
  <si>
    <t>对数据进行批量修改</t>
  </si>
  <si>
    <t>配置系统需要的数据，包括业务数据配置、系统数据配置等，如业务规则配置、系统参数配置等</t>
  </si>
  <si>
    <t>根据业务需求进行数据预处理、模型假设、模型设计与实现、模型评估等</t>
  </si>
  <si>
    <t>指对省业务与集团业务进行差异分析的工作,仅适合于全国大集中系统</t>
  </si>
  <si>
    <t>指在推广系统上进行系统或业务参数配置的工作,仅适合于全国大集中系统</t>
  </si>
  <si>
    <t>是指业务的端到端测试工作,仅适合于全国大集中系统</t>
  </si>
  <si>
    <t>应用软件服务器和终端安装或版本升级,,仅适合于全国大集中系统</t>
  </si>
  <si>
    <t>指在生产环境中进行的性能测试工作,仅适合于全国大集中系统</t>
  </si>
  <si>
    <t>指对数据进行脱敏处理的工作,仅适合于全国大集中系统</t>
  </si>
  <si>
    <t>指推广中需要的基础数据收集和数据清理工作,仅适合于全国大集中系统</t>
  </si>
  <si>
    <t>指数据由旧系统迁移到新系统的处理工作,仅适合于全国大集中系统</t>
  </si>
  <si>
    <t>指推广中需要的网络配置与验证工作,仅适合于全国大集中系统</t>
  </si>
  <si>
    <t>A级:界面展示信息0-10个</t>
  </si>
  <si>
    <t>A级:页面细节调整点1-10个</t>
  </si>
  <si>
    <t>A级:业务逻辑简单:A增加涉及到1-8个实体对象,B增加1-3个参数,C增加业务判断点小于3个</t>
  </si>
  <si>
    <t>A级:业务逻辑简单:A修改到1-8个实体对象,B修改1-3个参数,C修改业务判断点少于3个</t>
  </si>
  <si>
    <t>A级:涉及业务字段1-10个</t>
  </si>
  <si>
    <t>A级:准实时分钟级接口交互(如文件)，且涉及业务字段1-15个</t>
  </si>
  <si>
    <t>A级:配置环节和控制线1-10个</t>
  </si>
  <si>
    <t>A级:配置环节和控制线1-5个</t>
  </si>
  <si>
    <t>A级:报表元素1-5个</t>
  </si>
  <si>
    <t>A级:报表字段1-15个</t>
  </si>
  <si>
    <t>A级:导出信息1-10个</t>
  </si>
  <si>
    <t>A级:修改点1-10个</t>
  </si>
  <si>
    <t>A级:基于单张表导入数据简单逻辑</t>
  </si>
  <si>
    <t>A级:基于单张表修改导入功能简单逻辑</t>
  </si>
  <si>
    <t>A级:基于单张表直接取数简单逻辑</t>
  </si>
  <si>
    <t>A级:基于单张表修改数据，简单逻辑</t>
  </si>
  <si>
    <t>A级:基于单张表配置数据简单逻辑</t>
  </si>
  <si>
    <t>A级:基于单张表取数稽核简单逻辑</t>
  </si>
  <si>
    <t>A级:基于单张表进行数据加工，简单逻辑</t>
  </si>
  <si>
    <t>A级:基于单张表取数测算简单逻辑</t>
  </si>
  <si>
    <t>A级:涉及1-10台主机(含虚拟机)</t>
  </si>
  <si>
    <t>A级:1-10台应用主机存储扩容配置</t>
  </si>
  <si>
    <t>A级:网络策略逻辑简单,所需配置网络节点数1-2个</t>
  </si>
  <si>
    <t>A级:平台应用部署简单,对相应服务简单部署启动即可</t>
  </si>
  <si>
    <t>A级:单系统简单的方案和流程</t>
  </si>
  <si>
    <t>A级:基于单系统简单流程</t>
  </si>
  <si>
    <t>A级:平台应用部署简单，对相应服务简单部署启动即可</t>
  </si>
  <si>
    <t>A级:性能测试案例1-5个</t>
  </si>
  <si>
    <t>A级:数据脱敏1-5个字段</t>
  </si>
  <si>
    <t>A级:收集与清理1-10个字段</t>
  </si>
  <si>
    <t>A级:割接的数据1-25个字段</t>
  </si>
  <si>
    <t>A级:网络策略逻辑简单，所需配置网络节点1-2个</t>
  </si>
  <si>
    <t>B级:界面展示信息11-20个</t>
  </si>
  <si>
    <t>B级:页面细节调整点11-20个</t>
  </si>
  <si>
    <t>B级:复杂度一般:A增加8个以上实体对象操作，B增加参数同时进行参数校验,C增加业务判断点3-10个</t>
  </si>
  <si>
    <t>B级:复杂度一般:A修改8个以上实体对象,B修改参数同时校验等,C增加业务判断点15个以上,修改业务判断点3-10个</t>
  </si>
  <si>
    <t>B级:涉及业务字段11-30个</t>
  </si>
  <si>
    <t>B级:准实时分钟级接口交互(如文件)，且涉及业务字段大于15个</t>
  </si>
  <si>
    <t>B级:配置环节和控制线11-20个</t>
  </si>
  <si>
    <t>B级:配置环节和控制线6-10个</t>
  </si>
  <si>
    <t>B级:报表元素在6-10个</t>
  </si>
  <si>
    <t>B级:报表字段16-30个</t>
  </si>
  <si>
    <t>B级:导出信息11个-20个</t>
  </si>
  <si>
    <t>B级:修改点11-20个</t>
  </si>
  <si>
    <t>B级:基于单张表导入数据复杂逻辑</t>
  </si>
  <si>
    <t>B级:基于单张表修改导入功能复杂逻辑</t>
  </si>
  <si>
    <t>B级:基于单张表直接取数复杂逻辑</t>
  </si>
  <si>
    <t>B级:基于单张表修改数据，复杂逻辑</t>
  </si>
  <si>
    <t>B级:基于单张表配置数据复杂逻辑</t>
  </si>
  <si>
    <t>B级:基于单张表取数稽核复杂逻辑</t>
  </si>
  <si>
    <t>B级:基于单张表进行数据加工，复杂逻辑</t>
  </si>
  <si>
    <t>B级:基于单张表取数测算复杂逻辑</t>
  </si>
  <si>
    <t>B级:涉及11-20台主机(含虚拟机)</t>
  </si>
  <si>
    <t>B级:10台以上应用主机存储扩容配置</t>
  </si>
  <si>
    <t>B级:复杂度一般,所需配置网络节点数3-5个</t>
  </si>
  <si>
    <t>B级:平台应用部署后,单服务参数配置复杂,参数调整在1-5个之间</t>
  </si>
  <si>
    <t>B级:单系统复杂的方案和流程</t>
  </si>
  <si>
    <t>B级:基于单系统复杂流程</t>
  </si>
  <si>
    <t>B级:平台应用部署后，单服务参数配置复杂，参数调整在1-5个之间</t>
  </si>
  <si>
    <t>B级:性能测试案例6-10个</t>
  </si>
  <si>
    <t>B级:数据脱敏6-10个字段</t>
  </si>
  <si>
    <t>B级:收集与清理11-20个字段</t>
  </si>
  <si>
    <t>B级:割接的数据26-50个字段</t>
  </si>
  <si>
    <t>B级:复杂度一般，所需配置网络节点数3-5个</t>
  </si>
  <si>
    <t>C级:界面展示信息21-30个</t>
  </si>
  <si>
    <t>C级:页面细节调整点21-30个</t>
  </si>
  <si>
    <t>C级:复杂度中等:A增加批量数据操作,且批量操作数据需要后续监控处理的,B增加模型调整等,C增加业务判断点在10-15个</t>
  </si>
  <si>
    <t>C级:复杂度中等:A修改批量数据操作且需后续监控处理,B修改调整增加字段等,C修改业务判断点10-15个</t>
  </si>
  <si>
    <t>C级:涉及业务字段31-60个</t>
  </si>
  <si>
    <t>C级:实时秒级接口交互(如消息)，且涉及业务字段1-10个</t>
  </si>
  <si>
    <t>C级:配置环节和控制线21-30个</t>
  </si>
  <si>
    <t>C级:配置环节和控制线11-20个</t>
  </si>
  <si>
    <t>C级:报表元素在11-20个</t>
  </si>
  <si>
    <t>C级:报表字段31-50个</t>
  </si>
  <si>
    <t>C级:导出信息21个-30个</t>
  </si>
  <si>
    <t>C级:修改点21-30个</t>
  </si>
  <si>
    <t>C级:基于多张表导入数据简单逻辑</t>
  </si>
  <si>
    <t>C级:基于多张表修改导入功能简单逻辑</t>
  </si>
  <si>
    <t>C级:基于多张表直接取数简单逻辑</t>
  </si>
  <si>
    <t>C级:基于多张表修改数据，简单逻辑</t>
  </si>
  <si>
    <t>C级:基于多张表配置数据简单逻辑</t>
  </si>
  <si>
    <t>C级:基于多张表取数稽核简单逻辑</t>
  </si>
  <si>
    <t>C级:基于多张表进行数据加工，简单逻辑</t>
  </si>
  <si>
    <t>C级:基于多张表取数测算简单逻辑</t>
  </si>
  <si>
    <t>C级:涉及21-100台主机(含虚拟机)</t>
  </si>
  <si>
    <t>C级:1-5套物理数据库存储扩容配置</t>
  </si>
  <si>
    <t>C级:复杂度中等,所需配置网络节点数6-10个</t>
  </si>
  <si>
    <t>C级:平台应用存在两种依赖关系或单点登录关系,参数调整在5个以上</t>
  </si>
  <si>
    <t>C级:多系统跨流程的简单方案和流程</t>
  </si>
  <si>
    <t>C级:基于多系统简单流程</t>
  </si>
  <si>
    <t>C级:平台应用存在两种依赖关系或单点登录关系，并且参数调整在5个以上</t>
  </si>
  <si>
    <t>C级:性能测试案例11-20个</t>
  </si>
  <si>
    <t>C级:数据脱敏11-15个字段</t>
  </si>
  <si>
    <t>C级:收集与清理21-30个字段</t>
  </si>
  <si>
    <t>C级:割接的数据51-75个字段</t>
  </si>
  <si>
    <t>C级:复杂度中等，所需配置网络节点数6-10个</t>
  </si>
  <si>
    <t>D级:界面展示信息大于30个</t>
  </si>
  <si>
    <t>D级:页面细节调整点大于30个</t>
  </si>
  <si>
    <t>D级:复杂度高等:A需要模型改造才能支持,B增加规则调整等,C增加多级视图等</t>
  </si>
  <si>
    <t>D级:复杂度高等:A修改当前系统模型无法支持,B修改调整新增消息交互流程等,C修改业务判断点15个以上</t>
  </si>
  <si>
    <t>D级:涉及业务字段大于60个</t>
  </si>
  <si>
    <t>D级:实时秒级接口交互(如消息)，且涉及业务字段大于10个</t>
  </si>
  <si>
    <t>D级:配置环节和控制线大于30</t>
  </si>
  <si>
    <t>D级:配置环节和控制线大于20个</t>
  </si>
  <si>
    <t>D级:报表元素大于20个</t>
  </si>
  <si>
    <t>D级:报表字段50个以上</t>
  </si>
  <si>
    <t>D级:导出信息大于30个</t>
  </si>
  <si>
    <t>D级:修改点大于30个</t>
  </si>
  <si>
    <t>D级:基于多张表导入数据复杂逻辑</t>
  </si>
  <si>
    <t>D级:基于多张表修改导入功能复杂逻辑</t>
  </si>
  <si>
    <t>D级:基于多表直接取数复杂逻辑</t>
  </si>
  <si>
    <t>D级:基于多张表修改数据，复杂逻辑</t>
  </si>
  <si>
    <t>D级:基于多张表配置数据复杂逻辑</t>
  </si>
  <si>
    <t>D级:基于多张表取数稽核复杂逻辑</t>
  </si>
  <si>
    <t>D级:基于多张表进行数据加工，复杂逻辑</t>
  </si>
  <si>
    <t>D级:基于多张表取数测算复杂逻辑</t>
  </si>
  <si>
    <t>D级:大于100台主机(含虚拟机)</t>
  </si>
  <si>
    <t>D级:5套以上物理数据库存储扩容配置</t>
  </si>
  <si>
    <t>D级:复杂度高等,所需配置网络节点数大于10个</t>
  </si>
  <si>
    <t>D级:部署复杂,需要依赖两个及以上组件,配置参数在10个以上</t>
  </si>
  <si>
    <t>D级:多系统跨流程的复杂方案和流程</t>
  </si>
  <si>
    <t>D级:基于多系统复杂流程</t>
  </si>
  <si>
    <t>D级:部署复杂，需要依赖两个及以上组件，并且配置参数在10个以上</t>
  </si>
  <si>
    <t>D级:性能测试案例大于20个</t>
  </si>
  <si>
    <t>D级:数据脱敏大于15个字段</t>
  </si>
  <si>
    <t>D级:收集与清理大于30个字段</t>
  </si>
  <si>
    <t>D级:割接的数据大于75个字段</t>
  </si>
  <si>
    <t>D级:复杂度高等，所需配置网络节点数大于10个</t>
  </si>
  <si>
    <t>增加一个新的页面(或窗口界面)
A级:界面展示信息0-10个
B级:界面展示信息11-20个
C级:界面展示信息21-30个
D级:界面展示信息大于30个</t>
  </si>
  <si>
    <t>修改已有的页面或窗口界面
A级:页面细节调整点1-10个
B级:页面细节调整点11-20个
C级:页面细节调整点21-30个
D级:页面细节调整点大于30个</t>
  </si>
  <si>
    <t>增加新的业务逻辑
A级:业务逻辑简单:A增加涉及到1-8个实体对象,B增加1-3个参数,C增加业务判断点小于3个
B级:复杂度一般:A增加8个以上实体对象操作，B增加参数同时进行参数校验,C增加业务判断点3-10个
C级:复杂度中等:A增加批量数据操作,且批量操作数据需要后续监控处理的,B增加模型调整等,C增加业务判断点在10-15个
D级:复杂度高等:A需要模型改造才能支持,B增加规则调整等,C增加多级视图等</t>
  </si>
  <si>
    <t>修改已有的业务逻辑
A级:业务逻辑简单:A修改到1-8个实体对象,B修改1-3个参数,C修改业务判断点少于3个
B级:复杂度一般:A修改8个以上实体对象,B修改参数同时校验等,C增加业务判断点15个以上,修改业务判断点3-10个
C级:复杂度中等:A修改批量数据操作且需后续监控处理,B修改调整增加字段等,C修改业务判断点10-15个
D级:复杂度高等:A修改当前系统模型无法支持,B修改调整新增消息交互流程等,C修改业务判断点15个以上</t>
  </si>
  <si>
    <t>系统作为服务提供方向外部系统提供的接口
A级:涉及业务字段1-10个
B级:涉及业务字段11-30个
C级:涉及业务字段31-60个
D级:涉及业务字段大于60个</t>
  </si>
  <si>
    <t>系统作为服务消费方调用外部系统提供的接口
A级:涉及业务字段1-10个
B级:涉及业务字段11-30个
C级:涉及业务字段31-60个
D级:涉及业务字段大于60个</t>
  </si>
  <si>
    <t>修改提供方接口或消费方接口
A级:涉及业务字段1-10个
B级:涉及业务字段11-30个
C级:涉及业务字段31-60个
D级:涉及业务字段大于60个</t>
  </si>
  <si>
    <t>系统与省份/专业子公司系统的交互接口联调
A级:准实时分钟级接口交互(如文件)，且涉及业务字段1-15个
B级:准实时分钟级接口交互(如文件)，且涉及业务字段大于15个
C级:实时秒级接口交互(如消息)，且涉及业务字段1-10个
D级:实时秒级接口交互(如消息)，且涉及业务字段大于10个</t>
  </si>
  <si>
    <t>配置新的业务或管理流程，包括流程环节定义、流程编排等
A级:配置环节和控制线1-10个
B级:配置环节和控制线11-20个
C级:配置环节和控制线21-30个
D级:配置环节和控制线大于30</t>
  </si>
  <si>
    <t>修改业务或管理流程的配置，包括流程环节定义、流程编排等
A级:配置环节和控制线1-5个
B级:配置环节和控制线6-10个
C级:配置环节和控制线11-20个
D级:配置环节和控制线大于20个</t>
  </si>
  <si>
    <t>以程序开发的方式增加新报表
A级:报表元素1-5个
B级:报表元素在6-10个
C级:报表元素在11-20个
D级:报表元素大于20个</t>
  </si>
  <si>
    <t>以程序开发的方式修改原报表
A级:报表元素1-5个
B级:报表元素在6-10个
C级:报表元素在11-20个
D级:报表元素大于20个</t>
  </si>
  <si>
    <t>使用报表配置工具配置新报表
A级:报表字段1-15个
B级:报表字段16-30个
C级:报表字段31-50个
D级:报表字段50个以上</t>
  </si>
  <si>
    <t>新增导出数据的模板，如导出EXCEL文件数据、PDF文件数据或文本文件数据等
A级:导出信息1-10个
B级:导出信息11个-20个
C级:导出信息21个-30个
D级:导出信息大于30个</t>
  </si>
  <si>
    <t>修改已有导出数据的模板
A级:修改点1-10个
B级:修改点11-20个
C级:修改点21-30个
D级:修改点大于30个</t>
  </si>
  <si>
    <t>新增批量导入数据的功能
A级:基于单张表导入数据简单逻辑
B级:基于单张表导入数据复杂逻辑
C级:基于多张表导入数据简单逻辑
D级:基于多张表导入数据复杂逻辑</t>
  </si>
  <si>
    <t>修改已有批量导入数据的功能，如导入EXCEL文件数据、文本文件数据等
A级:基于单张表修改导入功能简单逻辑
B级:基于单张表修改导入功能复杂逻辑
C级:基于多张表修改导入功能简单逻辑
D级:基于多张表修改导入功能复杂逻辑</t>
  </si>
  <si>
    <t>根据业务部门临时性的、针对特定需求提供数据
A级:基于单张表直接取数简单逻辑
B级:基于单张表直接取数复杂逻辑
C级:基于多张表直接取数简单逻辑
D级:基于多表直接取数复杂逻辑</t>
  </si>
  <si>
    <t>对数据进行批量修改
A级:基于单张表修改数据，简单逻辑
B级:基于单张表修改数据，复杂逻辑
C级:基于多张表修改数据，简单逻辑
D级:基于多张表修改数据，复杂逻辑</t>
  </si>
  <si>
    <t>配置系统需要的数据，包括业务数据配置、系统数据配置等，如业务规则配置、系统参数配置等
A级:基于单张表配置数据简单逻辑
B级:基于单张表配置数据复杂逻辑
C级:基于多张表配置数据简单逻辑
D级:基于多张表配置数据复杂逻辑</t>
  </si>
  <si>
    <t>根据稽核规则进行数据采集、比对、差异分析等
A级:基于单张表取数稽核简单逻辑
B级:基于单张表取数稽核复杂逻辑
C级:基于多张表取数稽核简单逻辑
D级:基于多张表取数稽核复杂逻辑</t>
  </si>
  <si>
    <t>根据业务需求对数据进行加工处理，如补充数据、拆分数据、合并数据等等
A级:基于单张表进行数据加工，简单逻辑
B级:基于单张表进行数据加工，复杂逻辑
C级:基于多张表进行数据加工，简单逻辑
D级:基于多张表进行数据加工，复杂逻辑</t>
  </si>
  <si>
    <t>根据业务需求进行数据预处理、模型假设、模型设计与实现、模型评估等
A级:基于单张表取数测算简单逻辑
B级:基于单张表取数测算复杂逻辑
C级:基于多张表取数测算简单逻辑
D级:基于多张表取数测算复杂逻辑</t>
  </si>
  <si>
    <t>指因cpu扩容、内存扩容导致的主机配置实施工作
A级:涉及1-10台主机(含虚拟机)
B级:涉及11-20台主机(含虚拟机)
C级:涉及21-100台主机(含虚拟机)
D级:大于100台主机(含虚拟机)</t>
  </si>
  <si>
    <t>指因存储空间扩容导致的配置工作实施工作
A级:1-10台应用主机存储扩容配置
B级:10台以上应用主机存储扩容配置
C级:1-5套物理数据库存储扩容配置
D级:5套以上物理数据库存储扩容配置</t>
  </si>
  <si>
    <t>指网络参数配置实施工作 
A级:网络策略逻辑简单,所需配置网络节点数1-2个
B级:复杂度一般,所需配置网络节点数3-5个
C级:复杂度中等,所需配置网络节点数6-10个
D级:复杂度高等,所需配置网络节点数大于10个</t>
  </si>
  <si>
    <t>指平台、应用部署实施工作
A级:平台应用部署简单,对相应服务简单部署启动即可
B级:平台应用部署后,单服务参数配置复杂,参数调整在1-5个之间
C级:平台应用存在两种依赖关系或单点登录关系,参数调整在5个以上
D级:部署复杂,需要依赖两个及以上组件,配置参数在10个以上</t>
  </si>
  <si>
    <t>指对省业务与集团业务进行差异分析的工作,仅适合于全国大集中系统
A级:单系统简单的方案和流程
B级:单系统复杂的方案和流程
C级:多系统跨流程的简单方案和流程
D级:多系统跨流程的复杂方案和流程</t>
  </si>
  <si>
    <t>指在推广系统上进行系统或业务参数配置的工作,仅适合于全国大集中系统
A级:基于单张表配置数据简单逻辑
B级:基于单张表配置数据复杂逻辑
C级:基于多张表配置数据简单逻辑
D级:基于多张表配置数据复杂逻辑</t>
  </si>
  <si>
    <t>是指业务的端到端测试工作,仅适合于全国大集中系统
A级:基于单系统简单流程
B级:基于单系统复杂流程
C级:基于多系统简单流程
D级:基于多系统复杂流程</t>
  </si>
  <si>
    <t>应用软件服务器和终端安装或版本升级,,仅适合于全国大集中系统
A级:平台应用部署简单，对相应服务简单部署启动即可
B级:平台应用部署后，单服务参数配置复杂，参数调整在1-5个之间
C级:平台应用存在两种依赖关系或单点登录关系，并且参数调整在5个以上
D级:部署复杂，需要依赖两个及以上组件，并且配置参数在10个以上</t>
  </si>
  <si>
    <t>指在生产环境中进行的性能测试工作,仅适合于全国大集中系统
A级:性能测试案例1-5个
B级:性能测试案例6-10个
C级:性能测试案例11-20个
D级:性能测试案例大于20个</t>
  </si>
  <si>
    <t>指对数据进行脱敏处理的工作,仅适合于全国大集中系统
A级:数据脱敏1-5个字段
B级:数据脱敏6-10个字段
C级:数据脱敏11-15个字段
D级:数据脱敏大于15个字段</t>
  </si>
  <si>
    <t>指推广中需要的基础数据收集和数据清理工作,仅适合于全国大集中系统
A级:收集与清理1-10个字段
B级:收集与清理11-20个字段
C级:收集与清理21-30个字段
D级:收集与清理大于30个字段</t>
  </si>
  <si>
    <t>指数据由旧系统迁移到新系统的处理工作,仅适合于全国大集中系统
A级:割接的数据1-25个字段
B级:割接的数据26-50个字段
C级:割接的数据51-75个字段
D级:割接的数据大于75个字段</t>
  </si>
  <si>
    <t>指推广中需要的网络配置与验证工作,仅适合于全国大集中系统
A级:网络策略逻辑简单，所需配置网络节点1-2个
B级:复杂度一般，所需配置网络节点数3-5个
C级:复杂度中等，所需配置网络节点数6-10个
D级:复杂度高等，所需配置网络节点数大于10个</t>
  </si>
</sst>
</file>

<file path=xl/styles.xml><?xml version="1.0" encoding="utf-8"?>
<styleSheet xmlns="http://schemas.openxmlformats.org/spreadsheetml/2006/main" xmlns:mc="http://schemas.openxmlformats.org/markup-compatibility/2006" xmlns:xr9="http://schemas.microsoft.com/office/spreadsheetml/2016/revision9" mc:Ignorable="xr9">
  <numFmts count="8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_);\(#,###&quot;—&quot;\)"/>
    <numFmt numFmtId="177" formatCode="#,##0\ \ ;\(#,##0\)\ "/>
    <numFmt numFmtId="178" formatCode="_ [$€]* #,##0.00_ ;_ [$€]* \-#,##0.00_ ;_ [$€]* &quot;-&quot;??_ ;_ @_ "/>
    <numFmt numFmtId="179" formatCode="_ * #,##0_ ;_ * \-#,##0_ ;_ * &quot;-&quot;??_ ;_ @_ "/>
    <numFmt numFmtId="180" formatCode="\+#,##0.0;\-0.0"/>
    <numFmt numFmtId="181" formatCode="#,##0.0_);\(#,##0.0\)"/>
    <numFmt numFmtId="182" formatCode="&quot;$&quot;_(#,##0.00_);&quot;$&quot;\(#,##0.00\)"/>
    <numFmt numFmtId="183" formatCode="\¥_(#,##0.00_);\¥\(#,##0.00\)"/>
    <numFmt numFmtId="184" formatCode="_([$€-2]* #,##0.00_);_([$€-2]* \(#,##0.00\);_([$€-2]* &quot;-&quot;??_)"/>
    <numFmt numFmtId="185" formatCode="\+#,##0;\-#,##0"/>
    <numFmt numFmtId="186" formatCode="\+#,##0.00;\-#,##0.00"/>
    <numFmt numFmtId="187" formatCode="#,##0.0_)\x;\(#,##0.0\)\x"/>
    <numFmt numFmtId="188" formatCode="#,##0.0_)_x;\(#,##0.0\)_x"/>
    <numFmt numFmtId="189" formatCode="0.0_)\%;\(0.0\)\%"/>
    <numFmt numFmtId="190" formatCode="#,##0.0_)_%;\(#,##0.0\)_%"/>
    <numFmt numFmtId="191" formatCode="#,##0.0_);[Red]\(#,##0.0\)"/>
    <numFmt numFmtId="192" formatCode="0.00_);\(0.00\)"/>
    <numFmt numFmtId="193" formatCode="_-#,##0_-;\(#,##0\);_-\ \ &quot;-&quot;_-;_-@_-"/>
    <numFmt numFmtId="194" formatCode="_-#,##0.00_-;\(#,##0.00\);_-\ \ &quot;-&quot;_-;_-@_-"/>
    <numFmt numFmtId="195" formatCode="mmm/dd/yyyy;_-\ &quot;N/A&quot;_-;_-\ &quot;-&quot;_-"/>
    <numFmt numFmtId="196" formatCode="mmm/yyyy;_-\ &quot;N/A&quot;_-;_-\ &quot;-&quot;_-"/>
    <numFmt numFmtId="197" formatCode="_-#,##0%_-;\(#,##0%\);_-\ &quot;-&quot;_-"/>
    <numFmt numFmtId="198" formatCode="_-#,###,_-;\(#,###,\);_-\ \ &quot;-&quot;_-;_-@_-"/>
    <numFmt numFmtId="199" formatCode="_-#,###.00,_-;\(#,###.00,\);_-\ \ &quot;-&quot;_-;_-@_-"/>
    <numFmt numFmtId="200" formatCode="_-#0&quot;.&quot;0,_-;\(#0&quot;.&quot;0,\);_-\ \ &quot;-&quot;_-;_-@_-"/>
    <numFmt numFmtId="201" formatCode="_-#0&quot;.&quot;0000_-;\(#0&quot;.&quot;0000\);_-\ \ &quot;-&quot;_-;_-@_-"/>
    <numFmt numFmtId="202" formatCode="0%;\(0%\)"/>
    <numFmt numFmtId="203" formatCode="0.0%"/>
    <numFmt numFmtId="204" formatCode="#,##0\ "/>
    <numFmt numFmtId="205" formatCode="&quot;$&quot;#,##0_);\(&quot;$&quot;#,##0\)"/>
    <numFmt numFmtId="206" formatCode="_(* #,##0.0_);_(* \(#,##0.0\);_(* &quot;-&quot;?_);@_)"/>
    <numFmt numFmtId="207" formatCode="#,##0;\-#,##0;&quot;-&quot;"/>
    <numFmt numFmtId="208" formatCode="_-* #,##0_-;\-* #,##0_-;_-* &quot;-&quot;??_-;_-@_-"/>
    <numFmt numFmtId="209" formatCode="&quot;\&quot;#,##0;[Red]&quot;\&quot;&quot;\&quot;&quot;\&quot;&quot;\&quot;&quot;\&quot;&quot;\&quot;&quot;\&quot;\-#,##0"/>
    <numFmt numFmtId="210" formatCode="0.0000%"/>
    <numFmt numFmtId="211" formatCode="_-* #,##0.00_-;\-* #,##0.00_-;_-* &quot;-&quot;??_-;_-@_-"/>
    <numFmt numFmtId="212" formatCode="_ &quot;\&quot;* #,##0.00_ ;_ &quot;\&quot;* \-#,##0.00_ ;_ &quot;\&quot;* &quot;-&quot;??_ ;_ @_ "/>
    <numFmt numFmtId="213" formatCode="#,##0.0"/>
    <numFmt numFmtId="214" formatCode="#,##0;[Red]\(#,##0\)"/>
    <numFmt numFmtId="215" formatCode="&quot;$&quot;#,##0.00_);\(&quot;$&quot;#,##0.00\)"/>
    <numFmt numFmtId="216" formatCode="&quot;$&quot;#,##0;\-&quot;$&quot;#,##0"/>
    <numFmt numFmtId="217" formatCode="#,##0\ ;[Red]\-#,##0.00\ "/>
    <numFmt numFmtId="218" formatCode="_-* #,##0_-;\-* #,##0_-;_-* &quot;-&quot;_-;_-@_-"/>
    <numFmt numFmtId="219" formatCode="mmmm\ d\,\ yyyy"/>
    <numFmt numFmtId="220" formatCode="&quot;$&quot;#,##0.0\ \ \ ;\(&quot;$&quot;#,##0.0\)\ \ "/>
    <numFmt numFmtId="221" formatCode="&quot;$&quot;#.#"/>
    <numFmt numFmtId="222" formatCode="#,##0\ &quot; &quot;;\(#,##0\)\ ;&quot;—&quot;&quot; &quot;&quot; &quot;&quot; &quot;&quot; &quot;"/>
    <numFmt numFmtId="223" formatCode="#,##0.00\¥;\-#,##0.00\¥"/>
    <numFmt numFmtId="224" formatCode="#,##0.00&quot;￥&quot;;\-#,##0.00&quot;￥&quot;"/>
    <numFmt numFmtId="225" formatCode="_-* #,##0.00\¥_-;\-* #,##0.00\¥_-;_-* &quot;-&quot;??\¥_-;_-@_-"/>
    <numFmt numFmtId="226" formatCode="0.000%"/>
    <numFmt numFmtId="227" formatCode="_ &quot;S/&quot;* #,##0_ ;_ &quot;S/&quot;* \-#,##0_ ;_ &quot;S/&quot;* &quot;-&quot;_ ;_ @_ "/>
    <numFmt numFmtId="228" formatCode="_ &quot;S/&quot;* #,##0.00_ ;_ &quot;S/&quot;* \-#,##0.00_ ;_ &quot;S/&quot;* &quot;-&quot;??_ ;_ @_ "/>
    <numFmt numFmtId="229" formatCode="_-* #,##0\¥_-;\-* #,##0\¥_-;_-* &quot;-&quot;\¥_-;_-@_-"/>
    <numFmt numFmtId="230" formatCode="&quot;$&quot;\ #,##0.00_-;[Red]&quot;$&quot;\ #,##0.00\-"/>
    <numFmt numFmtId="231" formatCode="_-&quot;$&quot;\ * #,##0_-;_-&quot;$&quot;\ * #,##0\-;_-&quot;$&quot;\ * &quot;-&quot;_-;_-@_-"/>
    <numFmt numFmtId="232" formatCode="&quot;N$&quot;#,##0.00_);\(&quot;N$&quot;#,##0.00\)"/>
    <numFmt numFmtId="233" formatCode="0.00_)"/>
    <numFmt numFmtId="234" formatCode="#,##0.0\ \ \ ;\(#,##0.0\)\ \ "/>
    <numFmt numFmtId="235" formatCode="#\ ??/??"/>
    <numFmt numFmtId="236" formatCode="_-&quot;$&quot;* #,##0.00_-;\-&quot;$&quot;* #,##0.00_-;_-&quot;$&quot;* &quot;-&quot;??_-;_-@_-"/>
    <numFmt numFmtId="237" formatCode="#,##0.00\¥;[Red]\-#,##0.00\¥"/>
    <numFmt numFmtId="238" formatCode="#,##0.00&quot;￥&quot;;[Red]\-#,##0.00&quot;￥&quot;"/>
    <numFmt numFmtId="239" formatCode="00#;0##;###"/>
    <numFmt numFmtId="240" formatCode="0;_밀"/>
    <numFmt numFmtId="241" formatCode="yyyyddmm"/>
    <numFmt numFmtId="242" formatCode="0_ "/>
    <numFmt numFmtId="243" formatCode="#,##0.0\ "/>
    <numFmt numFmtId="244" formatCode="0.0_ "/>
    <numFmt numFmtId="245" formatCode="#,##0_ "/>
    <numFmt numFmtId="246" formatCode="#,##0.00_ "/>
    <numFmt numFmtId="247" formatCode="0_);[Red]\(0\)"/>
    <numFmt numFmtId="248" formatCode="_ \¥* #,##0.00_ ;_ \¥* \-#,##0.00_ ;_ \¥* &quot;-&quot;??_ ;_ @_ "/>
    <numFmt numFmtId="249" formatCode="&quot;\&quot;#,##0;[Red]&quot;\&quot;&quot;\&quot;\-#,##0"/>
    <numFmt numFmtId="250" formatCode="#,##0\ ;\-#,##0"/>
    <numFmt numFmtId="251" formatCode="&quot;\&quot;#,##0.00;[Red]&quot;\&quot;\-#,##0.00"/>
    <numFmt numFmtId="252" formatCode="&quot;\&quot;#,##0;[Red]&quot;\&quot;\-#,##0"/>
    <numFmt numFmtId="253" formatCode="#,##0;[Red]#,##0"/>
    <numFmt numFmtId="254" formatCode="yy\.mm\.dd"/>
    <numFmt numFmtId="255" formatCode="_(&quot;$&quot;* #,##0.00_);_(&quot;$&quot;* \(#,##0.00\);_(&quot;$&quot;* &quot;-&quot;??_);_(@_)"/>
    <numFmt numFmtId="25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232">
    <font>
      <sz val="11"/>
      <color theme="1"/>
      <name val="宋体"/>
      <charset val="134"/>
      <scheme val="minor"/>
    </font>
    <font>
      <sz val="10"/>
      <color theme="1"/>
      <name val="微软雅黑"/>
      <charset val="134"/>
    </font>
    <font>
      <sz val="10"/>
      <name val="微软雅黑"/>
      <charset val="134"/>
    </font>
    <font>
      <b/>
      <sz val="10"/>
      <color indexed="8"/>
      <name val="微软雅黑"/>
      <charset val="134"/>
    </font>
    <font>
      <b/>
      <sz val="10"/>
      <name val="微软雅黑"/>
      <charset val="134"/>
    </font>
    <font>
      <sz val="10"/>
      <color indexed="8"/>
      <name val="微软雅黑"/>
      <charset val="134"/>
    </font>
    <font>
      <b/>
      <sz val="16"/>
      <name val="宋体"/>
      <charset val="134"/>
      <scheme val="minor"/>
    </font>
    <font>
      <b/>
      <sz val="14"/>
      <name val="宋体"/>
      <charset val="134"/>
      <scheme val="minor"/>
    </font>
    <font>
      <sz val="11"/>
      <name val="宋体"/>
      <charset val="134"/>
      <scheme val="minor"/>
    </font>
    <font>
      <sz val="10"/>
      <name val="宋体"/>
      <charset val="134"/>
      <scheme val="minor"/>
    </font>
    <font>
      <sz val="20"/>
      <color theme="1"/>
      <name val="微软雅黑"/>
      <charset val="134"/>
    </font>
    <font>
      <b/>
      <sz val="14"/>
      <color theme="1"/>
      <name val="微软雅黑"/>
      <charset val="134"/>
    </font>
    <font>
      <sz val="14"/>
      <color theme="1"/>
      <name val="微软雅黑"/>
      <charset val="134"/>
    </font>
    <font>
      <b/>
      <sz val="16"/>
      <color theme="1"/>
      <name val="微软雅黑"/>
      <charset val="134"/>
    </font>
    <font>
      <b/>
      <sz val="16"/>
      <name val="微软雅黑"/>
      <charset val="134"/>
    </font>
    <font>
      <b/>
      <sz val="14"/>
      <name val="微软雅黑"/>
      <charset val="134"/>
    </font>
    <font>
      <b/>
      <sz val="12"/>
      <name val="微软雅黑"/>
      <charset val="134"/>
    </font>
    <font>
      <b/>
      <sz val="14"/>
      <color rgb="FFFF0000"/>
      <name val="微软雅黑"/>
      <charset val="134"/>
    </font>
    <font>
      <b/>
      <sz val="12"/>
      <color rgb="FFFF0000"/>
      <name val="微软雅黑"/>
      <charset val="134"/>
    </font>
    <font>
      <sz val="12"/>
      <name val="微软雅黑"/>
      <charset val="134"/>
    </font>
    <font>
      <b/>
      <sz val="16"/>
      <color rgb="FFFF0000"/>
      <name val="微软雅黑"/>
      <charset val="134"/>
    </font>
    <font>
      <sz val="11"/>
      <color rgb="FF000000"/>
      <name val="Times New Roman"/>
      <charset val="134"/>
    </font>
    <font>
      <sz val="11"/>
      <color rgb="FF000000"/>
      <name val="宋体"/>
      <charset val="134"/>
    </font>
    <font>
      <b/>
      <sz val="12"/>
      <color rgb="FF0070C0"/>
      <name val="微软雅黑"/>
      <charset val="134"/>
    </font>
    <font>
      <u/>
      <sz val="11"/>
      <color rgb="FF0000FF"/>
      <name val="宋体"/>
      <charset val="0"/>
      <scheme val="minor"/>
    </font>
    <font>
      <sz val="10"/>
      <color rgb="FFFF0000"/>
      <name val="微软雅黑"/>
      <charset val="134"/>
    </font>
    <font>
      <sz val="10"/>
      <color rgb="FF000000"/>
      <name val="微软雅黑"/>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etica"/>
      <charset val="134"/>
    </font>
    <font>
      <sz val="9"/>
      <color rgb="FF000000"/>
      <name val="宋体"/>
      <charset val="134"/>
    </font>
    <font>
      <sz val="11"/>
      <name val="ＭＳ Ｐゴシック"/>
      <charset val="134"/>
    </font>
    <font>
      <sz val="9"/>
      <name val="宋体"/>
      <charset val="134"/>
    </font>
    <font>
      <sz val="12"/>
      <name val="宋体"/>
      <charset val="134"/>
    </font>
    <font>
      <sz val="12"/>
      <name val="???"/>
      <charset val="134"/>
    </font>
    <font>
      <sz val="10"/>
      <name val="Times New Roman"/>
      <charset val="134"/>
    </font>
    <font>
      <sz val="11"/>
      <color indexed="8"/>
      <name val="宋体"/>
      <charset val="134"/>
    </font>
    <font>
      <sz val="12"/>
      <name val="Times New Roman"/>
      <charset val="134"/>
    </font>
    <font>
      <sz val="10"/>
      <name val="Arial"/>
      <charset val="134"/>
    </font>
    <font>
      <sz val="10"/>
      <name val="Helv"/>
      <charset val="134"/>
    </font>
    <font>
      <sz val="10"/>
      <color indexed="8"/>
      <name val="Arial"/>
      <charset val="134"/>
    </font>
    <font>
      <b/>
      <sz val="11"/>
      <color indexed="8"/>
      <name val="宋体"/>
      <charset val="134"/>
    </font>
    <font>
      <b/>
      <sz val="11"/>
      <color indexed="52"/>
      <name val="宋体"/>
      <charset val="134"/>
    </font>
    <font>
      <u val="singleAccounting"/>
      <vertAlign val="subscript"/>
      <sz val="10"/>
      <name val="Times New Roman"/>
      <charset val="134"/>
    </font>
    <font>
      <i/>
      <sz val="9"/>
      <name val="Times New Roman"/>
      <charset val="134"/>
    </font>
    <font>
      <b/>
      <sz val="11"/>
      <color indexed="56"/>
      <name val="宋体"/>
      <charset val="134"/>
    </font>
    <font>
      <sz val="13"/>
      <name val="Tms Rmn"/>
      <charset val="134"/>
    </font>
    <font>
      <sz val="12"/>
      <color rgb="FF000000"/>
      <name val="宋体"/>
      <charset val="134"/>
    </font>
    <font>
      <sz val="12"/>
      <name val="楷体"/>
      <charset val="134"/>
    </font>
    <font>
      <sz val="11"/>
      <color indexed="8"/>
      <name val="Calibri"/>
      <charset val="134"/>
    </font>
    <font>
      <sz val="10"/>
      <color indexed="8"/>
      <name val="Times New Roman"/>
      <charset val="134"/>
    </font>
    <font>
      <sz val="11"/>
      <color indexed="22"/>
      <name val="Calibri"/>
      <charset val="134"/>
    </font>
    <font>
      <sz val="11"/>
      <color indexed="9"/>
      <name val="宋体"/>
      <charset val="134"/>
    </font>
    <font>
      <sz val="11"/>
      <color indexed="42"/>
      <name val="宋体"/>
      <charset val="134"/>
    </font>
    <font>
      <sz val="11"/>
      <color indexed="9"/>
      <name val="Calibri"/>
      <charset val="134"/>
    </font>
    <font>
      <sz val="11"/>
      <color theme="0"/>
      <name val="宋体"/>
      <charset val="134"/>
      <scheme val="minor"/>
    </font>
    <font>
      <b/>
      <sz val="11"/>
      <name val="宋体"/>
      <charset val="134"/>
    </font>
    <font>
      <sz val="8"/>
      <name val="Times New Roman"/>
      <charset val="134"/>
    </font>
    <font>
      <sz val="11"/>
      <color indexed="20"/>
      <name val="Calibri"/>
      <charset val="134"/>
    </font>
    <font>
      <sz val="11"/>
      <color indexed="20"/>
      <name val="宋体"/>
      <charset val="134"/>
    </font>
    <font>
      <sz val="7"/>
      <name val="Helv"/>
      <charset val="134"/>
    </font>
    <font>
      <sz val="9"/>
      <color indexed="12"/>
      <name val="Tms Rmn"/>
      <charset val="134"/>
    </font>
    <font>
      <b/>
      <sz val="10"/>
      <name val="MS Sans Serif"/>
      <charset val="134"/>
    </font>
    <font>
      <b/>
      <sz val="8"/>
      <color indexed="24"/>
      <name val="Arial"/>
      <charset val="134"/>
    </font>
    <font>
      <sz val="9"/>
      <name val="Arial"/>
      <charset val="134"/>
    </font>
    <font>
      <sz val="8"/>
      <name val="Arial"/>
      <charset val="134"/>
    </font>
    <font>
      <b/>
      <sz val="9"/>
      <color indexed="24"/>
      <name val="Arial"/>
      <charset val="134"/>
    </font>
    <font>
      <b/>
      <sz val="11"/>
      <color indexed="24"/>
      <name val="Arial"/>
      <charset val="134"/>
    </font>
    <font>
      <b/>
      <sz val="11"/>
      <color indexed="52"/>
      <name val="Calibri"/>
      <charset val="134"/>
    </font>
    <font>
      <b/>
      <sz val="10"/>
      <name val="Helv"/>
      <charset val="134"/>
    </font>
    <font>
      <b/>
      <sz val="11"/>
      <color indexed="22"/>
      <name val="Calibri"/>
      <charset val="134"/>
    </font>
    <font>
      <b/>
      <sz val="11"/>
      <color indexed="9"/>
      <name val="宋体"/>
      <charset val="134"/>
    </font>
    <font>
      <b/>
      <sz val="11"/>
      <color indexed="42"/>
      <name val="宋体"/>
      <charset val="134"/>
    </font>
    <font>
      <b/>
      <sz val="11"/>
      <color indexed="9"/>
      <name val="Calibri"/>
      <charset val="134"/>
    </font>
    <font>
      <b/>
      <sz val="13"/>
      <name val="Tms Rmn"/>
      <charset val="134"/>
    </font>
    <font>
      <i/>
      <sz val="12"/>
      <name val="Times New Roman"/>
      <charset val="134"/>
    </font>
    <font>
      <b/>
      <sz val="8"/>
      <name val="Arial"/>
      <charset val="134"/>
    </font>
    <font>
      <sz val="11"/>
      <color indexed="8"/>
      <name val="Arial"/>
      <charset val="134"/>
    </font>
    <font>
      <sz val="10"/>
      <color theme="1"/>
      <name val="Arial"/>
      <charset val="134"/>
    </font>
    <font>
      <sz val="10"/>
      <name val="BERNHARD"/>
      <charset val="2"/>
    </font>
    <font>
      <sz val="10"/>
      <name val="宋体"/>
      <charset val="134"/>
    </font>
    <font>
      <sz val="10"/>
      <name val="MS Serif"/>
      <charset val="134"/>
    </font>
    <font>
      <sz val="10"/>
      <name val="Courier"/>
      <charset val="134"/>
    </font>
    <font>
      <sz val="10"/>
      <name val="MS Sans Serif"/>
      <charset val="134"/>
    </font>
    <font>
      <sz val="1"/>
      <color indexed="8"/>
      <name val="Courier"/>
      <charset val="134"/>
    </font>
    <font>
      <sz val="8"/>
      <name val="Helv"/>
      <charset val="134"/>
    </font>
    <font>
      <b/>
      <sz val="1"/>
      <color indexed="8"/>
      <name val="Courier"/>
      <charset val="134"/>
    </font>
    <font>
      <sz val="10"/>
      <color indexed="16"/>
      <name val="MS Serif"/>
      <charset val="134"/>
    </font>
    <font>
      <sz val="9"/>
      <name val="Times New Roman"/>
      <charset val="134"/>
    </font>
    <font>
      <sz val="8"/>
      <name val="LinePrinter"/>
      <charset val="134"/>
    </font>
    <font>
      <i/>
      <sz val="11"/>
      <color indexed="23"/>
      <name val="Calibri"/>
      <charset val="134"/>
    </font>
    <font>
      <i/>
      <sz val="11"/>
      <color indexed="23"/>
      <name val="宋体"/>
      <charset val="134"/>
    </font>
    <font>
      <sz val="12"/>
      <name val="Arial"/>
      <charset val="134"/>
    </font>
    <font>
      <u/>
      <sz val="7.5"/>
      <color indexed="36"/>
      <name val="Arial"/>
      <charset val="134"/>
    </font>
    <font>
      <sz val="11"/>
      <name val="Times New Roman"/>
      <charset val="134"/>
    </font>
    <font>
      <sz val="9"/>
      <name val="Tms Rmn"/>
      <charset val="134"/>
    </font>
    <font>
      <sz val="11"/>
      <color indexed="17"/>
      <name val="Calibri"/>
      <charset val="134"/>
    </font>
    <font>
      <sz val="11"/>
      <color indexed="17"/>
      <name val="宋体"/>
      <charset val="134"/>
    </font>
    <font>
      <sz val="12"/>
      <color indexed="39"/>
      <name val="Times New Roman"/>
      <charset val="134"/>
    </font>
    <font>
      <b/>
      <sz val="12"/>
      <name val="Helv"/>
      <charset val="134"/>
    </font>
    <font>
      <b/>
      <sz val="12"/>
      <name val="Arial"/>
      <charset val="134"/>
    </font>
    <font>
      <b/>
      <sz val="15"/>
      <color indexed="26"/>
      <name val="Calibri"/>
      <charset val="134"/>
    </font>
    <font>
      <b/>
      <sz val="15"/>
      <color indexed="56"/>
      <name val="宋体"/>
      <charset val="134"/>
    </font>
    <font>
      <b/>
      <sz val="15"/>
      <color indexed="62"/>
      <name val="宋体"/>
      <charset val="134"/>
    </font>
    <font>
      <b/>
      <sz val="15"/>
      <color indexed="56"/>
      <name val="Calibri"/>
      <charset val="134"/>
    </font>
    <font>
      <b/>
      <sz val="13"/>
      <color indexed="26"/>
      <name val="Calibri"/>
      <charset val="134"/>
    </font>
    <font>
      <b/>
      <sz val="13"/>
      <color indexed="56"/>
      <name val="宋体"/>
      <charset val="134"/>
    </font>
    <font>
      <b/>
      <sz val="13"/>
      <color indexed="62"/>
      <name val="宋体"/>
      <charset val="134"/>
    </font>
    <font>
      <b/>
      <sz val="13"/>
      <color indexed="56"/>
      <name val="Calibri"/>
      <charset val="134"/>
    </font>
    <font>
      <b/>
      <sz val="11"/>
      <color indexed="26"/>
      <name val="Calibri"/>
      <charset val="134"/>
    </font>
    <font>
      <b/>
      <sz val="11"/>
      <color indexed="62"/>
      <name val="宋体"/>
      <charset val="134"/>
    </font>
    <font>
      <b/>
      <sz val="11"/>
      <color indexed="56"/>
      <name val="Calibri"/>
      <charset val="134"/>
    </font>
    <font>
      <b/>
      <sz val="18"/>
      <name val="Arial"/>
      <charset val="134"/>
    </font>
    <font>
      <u/>
      <sz val="7.5"/>
      <color indexed="12"/>
      <name val="Arial"/>
      <charset val="134"/>
    </font>
    <font>
      <b/>
      <sz val="8"/>
      <color indexed="8"/>
      <name val="Helv"/>
      <charset val="134"/>
    </font>
    <font>
      <i/>
      <sz val="10"/>
      <name val="Times New Roman"/>
      <charset val="134"/>
    </font>
    <font>
      <sz val="11"/>
      <color indexed="62"/>
      <name val="宋体"/>
      <charset val="134"/>
    </font>
    <font>
      <sz val="11"/>
      <color indexed="62"/>
      <name val="Calibri"/>
      <charset val="134"/>
    </font>
    <font>
      <sz val="18"/>
      <name val="Times New Roman"/>
      <charset val="134"/>
    </font>
    <font>
      <b/>
      <sz val="13"/>
      <name val="Times New Roman"/>
      <charset val="134"/>
    </font>
    <font>
      <b/>
      <i/>
      <sz val="12"/>
      <name val="Times New Roman"/>
      <charset val="134"/>
    </font>
    <font>
      <sz val="11"/>
      <color indexed="52"/>
      <name val="Calibri"/>
      <charset val="134"/>
    </font>
    <font>
      <sz val="11"/>
      <color indexed="52"/>
      <name val="宋体"/>
      <charset val="134"/>
    </font>
    <font>
      <b/>
      <sz val="11"/>
      <name val="Helv"/>
      <charset val="134"/>
    </font>
    <font>
      <sz val="11"/>
      <color indexed="60"/>
      <name val="宋体"/>
      <charset val="134"/>
    </font>
    <font>
      <sz val="11"/>
      <color indexed="60"/>
      <name val="Calibri"/>
      <charset val="134"/>
    </font>
    <font>
      <sz val="7"/>
      <name val="Small Fonts"/>
      <charset val="134"/>
    </font>
    <font>
      <sz val="11"/>
      <name val="宋体"/>
      <charset val="134"/>
    </font>
    <font>
      <b/>
      <i/>
      <sz val="16"/>
      <name val="Helv"/>
      <charset val="134"/>
    </font>
    <font>
      <sz val="10"/>
      <color indexed="8"/>
      <name val="MS Sans Serif"/>
      <charset val="134"/>
    </font>
    <font>
      <i/>
      <sz val="10"/>
      <name val="Helv"/>
      <charset val="134"/>
    </font>
    <font>
      <b/>
      <sz val="11"/>
      <color indexed="63"/>
      <name val="Calibri"/>
      <charset val="134"/>
    </font>
    <font>
      <b/>
      <sz val="11"/>
      <color indexed="63"/>
      <name val="宋体"/>
      <charset val="134"/>
    </font>
    <font>
      <b/>
      <u/>
      <sz val="10"/>
      <name val="宋体"/>
      <charset val="134"/>
    </font>
    <font>
      <b/>
      <sz val="10"/>
      <name val="宋体"/>
      <charset val="134"/>
    </font>
    <font>
      <sz val="10"/>
      <name val="Tms Rmn"/>
      <charset val="134"/>
    </font>
    <font>
      <sz val="7"/>
      <color indexed="10"/>
      <name val="Helv"/>
      <charset val="134"/>
    </font>
    <font>
      <sz val="8"/>
      <color indexed="16"/>
      <name val="Century Schoolbook"/>
      <charset val="134"/>
    </font>
    <font>
      <b/>
      <i/>
      <sz val="10"/>
      <name val="Times New Roman"/>
      <charset val="134"/>
    </font>
    <font>
      <b/>
      <sz val="14"/>
      <color indexed="9"/>
      <name val="Times New Roman"/>
      <charset val="134"/>
    </font>
    <font>
      <b/>
      <sz val="8"/>
      <name val="Helv"/>
      <charset val="134"/>
    </font>
    <font>
      <b/>
      <sz val="10"/>
      <color indexed="12"/>
      <name val="Arial"/>
      <charset val="134"/>
    </font>
    <font>
      <sz val="10"/>
      <color indexed="23"/>
      <name val="Arial"/>
      <charset val="134"/>
    </font>
    <font>
      <i/>
      <sz val="10"/>
      <color indexed="12"/>
      <name val="Arial"/>
      <charset val="134"/>
    </font>
    <font>
      <sz val="10"/>
      <color indexed="8"/>
      <name val="楷体"/>
      <charset val="134"/>
    </font>
    <font>
      <b/>
      <sz val="10"/>
      <name val="Tms Rmn"/>
      <charset val="134"/>
    </font>
    <font>
      <sz val="9"/>
      <color rgb="FF000000"/>
      <name val="Arial"/>
      <charset val="134"/>
    </font>
    <font>
      <b/>
      <sz val="12"/>
      <name val="MS Sans Serif"/>
      <charset val="134"/>
    </font>
    <font>
      <sz val="12"/>
      <name val="MS Sans Serif"/>
      <charset val="134"/>
    </font>
    <font>
      <b/>
      <u/>
      <sz val="8"/>
      <name val="Helv"/>
      <charset val="134"/>
    </font>
    <font>
      <b/>
      <sz val="18"/>
      <color indexed="56"/>
      <name val="宋体"/>
      <charset val="134"/>
    </font>
    <font>
      <b/>
      <sz val="18"/>
      <color indexed="62"/>
      <name val="宋体"/>
      <charset val="134"/>
    </font>
    <font>
      <b/>
      <sz val="18"/>
      <color indexed="56"/>
      <name val="Cambria"/>
      <charset val="134"/>
    </font>
    <font>
      <b/>
      <sz val="11"/>
      <color indexed="8"/>
      <name val="Calibri"/>
      <charset val="134"/>
    </font>
    <font>
      <sz val="11"/>
      <color indexed="10"/>
      <name val="Calibri"/>
      <charset val="134"/>
    </font>
    <font>
      <sz val="11"/>
      <color indexed="10"/>
      <name val="宋体"/>
      <charset val="134"/>
    </font>
    <font>
      <sz val="11"/>
      <name val="明朝"/>
      <charset val="134"/>
    </font>
    <font>
      <sz val="10"/>
      <name val="楲污丠睥删"/>
      <charset val="134"/>
    </font>
    <font>
      <sz val="10"/>
      <name val="Arial Narrow"/>
      <charset val="134"/>
    </font>
    <font>
      <sz val="11"/>
      <color theme="1"/>
      <name val="华文细黑"/>
      <charset val="134"/>
    </font>
    <font>
      <sz val="11"/>
      <color indexed="8"/>
      <name val="宋体"/>
      <charset val="134"/>
      <scheme val="minor"/>
    </font>
    <font>
      <sz val="11"/>
      <color theme="1"/>
      <name val="Tahoma"/>
      <charset val="134"/>
    </font>
    <font>
      <sz val="12"/>
      <color theme="1"/>
      <name val="宋体"/>
      <charset val="134"/>
      <scheme val="minor"/>
    </font>
    <font>
      <sz val="14"/>
      <name val="柧挬"/>
      <charset val="134"/>
    </font>
    <font>
      <b/>
      <sz val="15"/>
      <color rgb="FF003366"/>
      <name val="宋体"/>
      <charset val="134"/>
    </font>
    <font>
      <b/>
      <sz val="18"/>
      <color theme="3"/>
      <name val="宋体"/>
      <charset val="134"/>
      <scheme val="major"/>
    </font>
    <font>
      <b/>
      <sz val="13"/>
      <color rgb="FF003366"/>
      <name val="宋体"/>
      <charset val="134"/>
    </font>
    <font>
      <b/>
      <sz val="11"/>
      <color rgb="FF003366"/>
      <name val="宋体"/>
      <charset val="134"/>
    </font>
    <font>
      <b/>
      <sz val="18"/>
      <color rgb="FF003366"/>
      <name val="宋体"/>
      <charset val="134"/>
    </font>
    <font>
      <b/>
      <sz val="14"/>
      <name val="楷体"/>
      <charset val="134"/>
    </font>
    <font>
      <sz val="8"/>
      <name val="Century Schoolbook"/>
      <charset val="134"/>
    </font>
    <font>
      <sz val="10"/>
      <name val="楷体"/>
      <charset val="134"/>
    </font>
    <font>
      <sz val="11"/>
      <color rgb="FF800080"/>
      <name val="宋体"/>
      <charset val="134"/>
    </font>
    <font>
      <sz val="11"/>
      <color indexed="20"/>
      <name val="Arial"/>
      <charset val="134"/>
    </font>
    <font>
      <sz val="10"/>
      <color indexed="20"/>
      <name val="宋体"/>
      <charset val="134"/>
    </font>
    <font>
      <sz val="11"/>
      <color rgb="FF9C0006"/>
      <name val="Tahoma"/>
      <charset val="134"/>
    </font>
    <font>
      <sz val="11"/>
      <color rgb="FF9C0006"/>
      <name val="宋体"/>
      <charset val="134"/>
      <scheme val="minor"/>
    </font>
    <font>
      <sz val="12"/>
      <color indexed="20"/>
      <name val="微软雅黑"/>
      <charset val="134"/>
    </font>
    <font>
      <sz val="10"/>
      <color rgb="FF000000"/>
      <name val="Arial"/>
      <charset val="134"/>
    </font>
    <font>
      <sz val="9"/>
      <color indexed="8"/>
      <name val="宋体"/>
      <charset val="134"/>
    </font>
    <font>
      <sz val="11"/>
      <color theme="1"/>
      <name val="黑体"/>
      <charset val="134"/>
    </font>
    <font>
      <sz val="12"/>
      <color theme="1"/>
      <name val="微软雅黑"/>
      <charset val="134"/>
    </font>
    <font>
      <u/>
      <sz val="12"/>
      <color indexed="12"/>
      <name val="宋体"/>
      <charset val="134"/>
    </font>
    <font>
      <u/>
      <sz val="12"/>
      <color theme="10"/>
      <name val="宋体"/>
      <charset val="134"/>
      <scheme val="minor"/>
    </font>
    <font>
      <u/>
      <sz val="9"/>
      <color indexed="12"/>
      <name val="宋体"/>
      <charset val="134"/>
    </font>
    <font>
      <u/>
      <sz val="12"/>
      <color indexed="12"/>
      <name val="Times New Roman"/>
      <charset val="134"/>
    </font>
    <font>
      <u/>
      <sz val="10"/>
      <color indexed="12"/>
      <name val="Arial"/>
      <charset val="134"/>
    </font>
    <font>
      <b/>
      <sz val="9"/>
      <name val="Arial"/>
      <charset val="134"/>
    </font>
    <font>
      <b/>
      <sz val="10"/>
      <name val="Arial"/>
      <charset val="134"/>
    </font>
    <font>
      <b/>
      <sz val="14"/>
      <name val="宋体"/>
      <charset val="134"/>
    </font>
    <font>
      <sz val="11"/>
      <color rgb="FF008000"/>
      <name val="宋体"/>
      <charset val="134"/>
    </font>
    <font>
      <sz val="11"/>
      <color indexed="17"/>
      <name val="Arial"/>
      <charset val="134"/>
    </font>
    <font>
      <sz val="11"/>
      <color indexed="58"/>
      <name val="宋体"/>
      <charset val="134"/>
    </font>
    <font>
      <sz val="10"/>
      <color indexed="17"/>
      <name val="宋体"/>
      <charset val="134"/>
    </font>
    <font>
      <sz val="11"/>
      <color rgb="FF006100"/>
      <name val="Tahoma"/>
      <charset val="134"/>
    </font>
    <font>
      <sz val="11"/>
      <color rgb="FF006100"/>
      <name val="宋体"/>
      <charset val="134"/>
      <scheme val="minor"/>
    </font>
    <font>
      <sz val="12"/>
      <color indexed="17"/>
      <name val="微软雅黑"/>
      <charset val="134"/>
    </font>
    <font>
      <sz val="10"/>
      <name val="Geneva"/>
      <charset val="134"/>
    </font>
    <font>
      <u/>
      <sz val="12"/>
      <color indexed="20"/>
      <name val="宋体"/>
      <charset val="134"/>
    </font>
    <font>
      <u/>
      <sz val="10"/>
      <color indexed="36"/>
      <name val="Arial"/>
      <charset val="134"/>
    </font>
    <font>
      <b/>
      <sz val="11"/>
      <color rgb="FF000000"/>
      <name val="宋体"/>
      <charset val="134"/>
    </font>
    <font>
      <b/>
      <sz val="11"/>
      <color rgb="FFFF9900"/>
      <name val="宋体"/>
      <charset val="134"/>
    </font>
    <font>
      <b/>
      <sz val="11"/>
      <color rgb="FFFFFFFF"/>
      <name val="宋体"/>
      <charset val="134"/>
    </font>
    <font>
      <i/>
      <sz val="11"/>
      <color rgb="FF808080"/>
      <name val="宋体"/>
      <charset val="134"/>
    </font>
    <font>
      <sz val="11"/>
      <color rgb="FFFF0000"/>
      <name val="宋体"/>
      <charset val="134"/>
    </font>
    <font>
      <sz val="11"/>
      <color rgb="FFFF9900"/>
      <name val="宋体"/>
      <charset val="134"/>
    </font>
    <font>
      <sz val="12"/>
      <name val="官帕眉"/>
      <charset val="134"/>
    </font>
    <font>
      <sz val="10"/>
      <name val="奔覆眉"/>
      <charset val="134"/>
    </font>
    <font>
      <sz val="11"/>
      <color rgb="FF993300"/>
      <name val="宋体"/>
      <charset val="134"/>
    </font>
    <font>
      <sz val="11"/>
      <color rgb="FF9C6500"/>
      <name val="宋体"/>
      <charset val="134"/>
      <scheme val="minor"/>
    </font>
    <font>
      <b/>
      <sz val="11"/>
      <color rgb="FF333333"/>
      <name val="宋体"/>
      <charset val="134"/>
    </font>
    <font>
      <sz val="11"/>
      <color rgb="FF333399"/>
      <name val="宋体"/>
      <charset val="134"/>
    </font>
    <font>
      <sz val="10"/>
      <name val="隶书_GB2312"/>
      <charset val="134"/>
    </font>
    <font>
      <u/>
      <sz val="12"/>
      <color theme="11"/>
      <name val="宋体"/>
      <charset val="134"/>
      <scheme val="minor"/>
    </font>
    <font>
      <sz val="12"/>
      <name val="柧挬"/>
      <charset val="134"/>
    </font>
    <font>
      <sz val="12"/>
      <name val="바탕체"/>
      <charset val="134"/>
    </font>
  </fonts>
  <fills count="89">
    <fill>
      <patternFill patternType="none"/>
    </fill>
    <fill>
      <patternFill patternType="gray125"/>
    </fill>
    <fill>
      <patternFill patternType="solid">
        <fgColor theme="4" tint="0.399945066682943"/>
        <bgColor indexed="64"/>
      </patternFill>
    </fill>
    <fill>
      <patternFill patternType="solid">
        <fgColor theme="0"/>
        <bgColor indexed="64"/>
      </patternFill>
    </fill>
    <fill>
      <patternFill patternType="solid">
        <fgColor theme="0" tint="-0.14996795556505"/>
        <bgColor indexed="64"/>
      </patternFill>
    </fill>
    <fill>
      <patternFill patternType="solid">
        <fgColor theme="0" tint="-0.149937437055574"/>
        <bgColor indexed="64"/>
      </patternFill>
    </fill>
    <fill>
      <patternFill patternType="solid">
        <fgColor theme="0" tint="-0.0499893185216834"/>
        <bgColor indexed="64"/>
      </patternFill>
    </fill>
    <fill>
      <patternFill patternType="solid">
        <fgColor rgb="FF66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11"/>
        <bgColor indexed="64"/>
      </patternFill>
    </fill>
    <fill>
      <patternFill patternType="solid">
        <fgColor indexed="22"/>
        <bgColor indexed="64"/>
      </patternFill>
    </fill>
    <fill>
      <patternFill patternType="solid">
        <fgColor indexed="26"/>
        <bgColor indexed="64"/>
      </patternFill>
    </fill>
    <fill>
      <patternFill patternType="solid">
        <fgColor indexed="29"/>
        <bgColor indexed="64"/>
      </patternFill>
    </fill>
    <fill>
      <patternFill patternType="solid">
        <fgColor indexed="31"/>
        <bgColor indexed="64"/>
      </patternFill>
    </fill>
    <fill>
      <patternFill patternType="solid">
        <fgColor indexed="9"/>
        <bgColor indexed="64"/>
      </patternFill>
    </fill>
    <fill>
      <patternFill patternType="solid">
        <fgColor indexed="25"/>
        <bgColor indexed="64"/>
      </patternFill>
    </fill>
    <fill>
      <patternFill patternType="solid">
        <fgColor indexed="45"/>
        <bgColor indexed="64"/>
      </patternFill>
    </fill>
    <fill>
      <patternFill patternType="solid">
        <fgColor indexed="47"/>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theme="4" tint="0.799768059327982"/>
        <bgColor indexed="64"/>
      </patternFill>
    </fill>
    <fill>
      <patternFill patternType="solid">
        <fgColor theme="5" tint="0.799768059327982"/>
        <bgColor indexed="64"/>
      </patternFill>
    </fill>
    <fill>
      <patternFill patternType="solid">
        <fgColor theme="6" tint="0.799768059327982"/>
        <bgColor indexed="64"/>
      </patternFill>
    </fill>
    <fill>
      <patternFill patternType="solid">
        <fgColor theme="7" tint="0.799768059327982"/>
        <bgColor indexed="64"/>
      </patternFill>
    </fill>
    <fill>
      <patternFill patternType="solid">
        <fgColor theme="8" tint="0.799768059327982"/>
        <bgColor indexed="64"/>
      </patternFill>
    </fill>
    <fill>
      <patternFill patternType="solid">
        <fgColor theme="9" tint="0.799768059327982"/>
        <bgColor indexed="64"/>
      </patternFill>
    </fill>
    <fill>
      <patternFill patternType="solid">
        <fgColor indexed="44"/>
        <bgColor indexed="64"/>
      </patternFill>
    </fill>
    <fill>
      <patternFill patternType="solid">
        <fgColor indexed="43"/>
        <bgColor indexed="64"/>
      </patternFill>
    </fill>
    <fill>
      <patternFill patternType="solid">
        <fgColor indexed="51"/>
        <bgColor indexed="64"/>
      </patternFill>
    </fill>
    <fill>
      <patternFill patternType="solid">
        <fgColor indexed="28"/>
        <bgColor indexed="64"/>
      </patternFill>
    </fill>
    <fill>
      <patternFill patternType="solid">
        <fgColor indexed="30"/>
        <bgColor indexed="64"/>
      </patternFill>
    </fill>
    <fill>
      <patternFill patternType="solid">
        <fgColor indexed="49"/>
        <bgColor indexed="64"/>
      </patternFill>
    </fill>
    <fill>
      <patternFill patternType="solid">
        <fgColor indexed="36"/>
        <bgColor indexed="64"/>
      </patternFill>
    </fill>
    <fill>
      <patternFill patternType="solid">
        <fgColor indexed="52"/>
        <bgColor indexed="64"/>
      </patternFill>
    </fill>
    <fill>
      <patternFill patternType="solid">
        <fgColor theme="4" tint="0.399914548173467"/>
        <bgColor indexed="64"/>
      </patternFill>
    </fill>
    <fill>
      <patternFill patternType="solid">
        <fgColor theme="5" tint="0.399914548173467"/>
        <bgColor indexed="64"/>
      </patternFill>
    </fill>
    <fill>
      <patternFill patternType="solid">
        <fgColor theme="6" tint="0.399914548173467"/>
        <bgColor indexed="64"/>
      </patternFill>
    </fill>
    <fill>
      <patternFill patternType="solid">
        <fgColor theme="7" tint="0.399914548173467"/>
        <bgColor indexed="64"/>
      </patternFill>
    </fill>
    <fill>
      <patternFill patternType="solid">
        <fgColor theme="8" tint="0.399914548173467"/>
        <bgColor indexed="64"/>
      </patternFill>
    </fill>
    <fill>
      <patternFill patternType="solid">
        <fgColor theme="9" tint="0.399914548173467"/>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4"/>
        <bgColor indexed="64"/>
      </patternFill>
    </fill>
    <fill>
      <patternFill patternType="solid">
        <fgColor indexed="53"/>
        <bgColor indexed="64"/>
      </patternFill>
    </fill>
    <fill>
      <patternFill patternType="solid">
        <fgColor indexed="14"/>
        <bgColor indexed="64"/>
      </patternFill>
    </fill>
    <fill>
      <patternFill patternType="solid">
        <fgColor indexed="55"/>
        <bgColor indexed="64"/>
      </patternFill>
    </fill>
    <fill>
      <patternFill patternType="solid">
        <fgColor indexed="13"/>
        <bgColor indexed="64"/>
      </patternFill>
    </fill>
    <fill>
      <patternFill patternType="solid">
        <fgColor indexed="15"/>
        <bgColor indexed="64"/>
      </patternFill>
    </fill>
    <fill>
      <patternFill patternType="solid">
        <fgColor indexed="12"/>
        <bgColor indexed="64"/>
      </patternFill>
    </fill>
    <fill>
      <patternFill patternType="mediumGray">
        <fgColor indexed="22"/>
      </patternFill>
    </fill>
    <fill>
      <patternFill patternType="gray0625"/>
    </fill>
    <fill>
      <patternFill patternType="solid">
        <fgColor rgb="FFFFFFFF"/>
        <bgColor indexed="64"/>
      </patternFill>
    </fill>
    <fill>
      <patternFill patternType="solid">
        <fgColor rgb="FFFF99CC"/>
        <bgColor indexed="64"/>
      </patternFill>
    </fill>
    <fill>
      <patternFill patternType="solid">
        <fgColor rgb="FFCCFFCC"/>
        <bgColor indexed="64"/>
      </patternFill>
    </fill>
    <fill>
      <patternFill patternType="solid">
        <fgColor rgb="FFC0C0C0"/>
        <bgColor indexed="64"/>
      </patternFill>
    </fill>
    <fill>
      <patternFill patternType="solid">
        <fgColor rgb="FF969696"/>
        <bgColor indexed="64"/>
      </patternFill>
    </fill>
    <fill>
      <patternFill patternType="solid">
        <fgColor rgb="FFFFFF99"/>
        <bgColor indexed="64"/>
      </patternFill>
    </fill>
  </fills>
  <borders count="94">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bottom/>
      <diagonal/>
    </border>
    <border>
      <left/>
      <right style="medium">
        <color auto="1"/>
      </right>
      <top/>
      <bottom/>
      <diagonal/>
    </border>
    <border>
      <left/>
      <right style="dotted">
        <color auto="1"/>
      </right>
      <top/>
      <bottom/>
      <diagonal/>
    </border>
    <border>
      <left style="dotted">
        <color auto="1"/>
      </left>
      <right/>
      <top/>
      <bottom style="dotted">
        <color auto="1"/>
      </bottom>
      <diagonal/>
    </border>
    <border>
      <left/>
      <right style="dotted">
        <color auto="1"/>
      </right>
      <top/>
      <bottom style="dotted">
        <color auto="1"/>
      </bottom>
      <diagonal/>
    </border>
    <border>
      <left style="dotted">
        <color auto="1"/>
      </left>
      <right style="dotted">
        <color auto="1"/>
      </right>
      <top/>
      <bottom style="dotted">
        <color auto="1"/>
      </bottom>
      <diagonal/>
    </border>
    <border>
      <left/>
      <right/>
      <top/>
      <bottom style="dotted">
        <color auto="1"/>
      </bottom>
      <diagonal/>
    </border>
    <border>
      <left/>
      <right style="medium">
        <color auto="1"/>
      </right>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right/>
      <top style="dotted">
        <color auto="1"/>
      </top>
      <bottom style="dotted">
        <color auto="1"/>
      </bottom>
      <diagonal/>
    </border>
    <border>
      <left/>
      <right style="medium">
        <color auto="1"/>
      </right>
      <top style="dotted">
        <color auto="1"/>
      </top>
      <bottom style="dotted">
        <color auto="1"/>
      </bottom>
      <diagonal/>
    </border>
    <border>
      <left/>
      <right style="dotted">
        <color auto="1"/>
      </right>
      <top/>
      <bottom style="thin">
        <color auto="1"/>
      </bottom>
      <diagonal/>
    </border>
    <border>
      <left style="dotted">
        <color auto="1"/>
      </left>
      <right/>
      <top style="dotted">
        <color auto="1"/>
      </top>
      <bottom style="thin">
        <color auto="1"/>
      </bottom>
      <diagonal/>
    </border>
    <border>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right/>
      <top style="dotted">
        <color auto="1"/>
      </top>
      <bottom style="thin">
        <color auto="1"/>
      </bottom>
      <diagonal/>
    </border>
    <border>
      <left/>
      <right style="medium">
        <color auto="1"/>
      </right>
      <top style="dotted">
        <color auto="1"/>
      </top>
      <bottom style="thin">
        <color auto="1"/>
      </bottom>
      <diagonal/>
    </border>
    <border>
      <left/>
      <right style="dotted">
        <color auto="1"/>
      </right>
      <top style="thin">
        <color auto="1"/>
      </top>
      <bottom/>
      <diagonal/>
    </border>
    <border>
      <left style="dotted">
        <color auto="1"/>
      </left>
      <right/>
      <top style="thin">
        <color auto="1"/>
      </top>
      <bottom style="dotted">
        <color auto="1"/>
      </bottom>
      <diagonal/>
    </border>
    <border>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top style="thin">
        <color auto="1"/>
      </top>
      <bottom/>
      <diagonal/>
    </border>
    <border>
      <left/>
      <right style="thin">
        <color auto="1"/>
      </right>
      <top style="thin">
        <color auto="1"/>
      </top>
      <bottom/>
      <diagonal/>
    </border>
    <border>
      <left style="dotted">
        <color auto="1"/>
      </left>
      <right style="thin">
        <color auto="1"/>
      </right>
      <top style="dotted">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dotted">
        <color auto="1"/>
      </left>
      <right/>
      <top style="thin">
        <color auto="1"/>
      </top>
      <bottom/>
      <diagonal/>
    </border>
    <border>
      <left style="medium">
        <color auto="1"/>
      </left>
      <right/>
      <top/>
      <bottom style="medium">
        <color auto="1"/>
      </bottom>
      <diagonal/>
    </border>
    <border>
      <left/>
      <right style="dotted">
        <color auto="1"/>
      </right>
      <top/>
      <bottom style="medium">
        <color auto="1"/>
      </bottom>
      <diagonal/>
    </border>
    <border>
      <left style="dotted">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right style="medium">
        <color auto="1"/>
      </right>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bottom style="medium">
        <color indexed="24"/>
      </bottom>
      <diagonal/>
    </border>
    <border>
      <left style="double">
        <color indexed="63"/>
      </left>
      <right style="double">
        <color indexed="63"/>
      </right>
      <top style="double">
        <color indexed="63"/>
      </top>
      <bottom style="double">
        <color indexed="63"/>
      </bottom>
      <diagonal/>
    </border>
    <border>
      <left/>
      <right/>
      <top style="medium">
        <color auto="1"/>
      </top>
      <bottom style="medium">
        <color auto="1"/>
      </bottom>
      <diagonal/>
    </border>
    <border>
      <left/>
      <right/>
      <top/>
      <bottom style="thick">
        <color indexed="28"/>
      </bottom>
      <diagonal/>
    </border>
    <border>
      <left/>
      <right/>
      <top/>
      <bottom style="thick">
        <color indexed="62"/>
      </bottom>
      <diagonal/>
    </border>
    <border>
      <left/>
      <right/>
      <top/>
      <bottom style="thick">
        <color indexed="49"/>
      </bottom>
      <diagonal/>
    </border>
    <border>
      <left/>
      <right/>
      <top/>
      <bottom style="thick">
        <color indexed="29"/>
      </bottom>
      <diagonal/>
    </border>
    <border>
      <left/>
      <right/>
      <top/>
      <bottom style="thick">
        <color indexed="22"/>
      </bottom>
      <diagonal/>
    </border>
    <border>
      <left/>
      <right/>
      <top/>
      <bottom style="medium">
        <color indexed="28"/>
      </bottom>
      <diagonal/>
    </border>
    <border>
      <left/>
      <right/>
      <top/>
      <bottom style="medium">
        <color indexed="30"/>
      </bottom>
      <diagonal/>
    </border>
    <border>
      <left/>
      <right/>
      <top/>
      <bottom style="medium">
        <color indexed="49"/>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auto="1"/>
      </top>
      <bottom style="double">
        <color auto="1"/>
      </bottom>
      <diagonal/>
    </border>
    <border>
      <left/>
      <right/>
      <top style="thin">
        <color indexed="49"/>
      </top>
      <bottom style="double">
        <color indexed="49"/>
      </bottom>
      <diagonal/>
    </border>
    <border>
      <left/>
      <right/>
      <top/>
      <bottom style="thick">
        <color rgb="FF333399"/>
      </bottom>
      <diagonal/>
    </border>
    <border>
      <left/>
      <right/>
      <top/>
      <bottom style="thick">
        <color rgb="FFC0C0C0"/>
      </bottom>
      <diagonal/>
    </border>
    <border>
      <left/>
      <right/>
      <top/>
      <bottom style="medium">
        <color rgb="FF0066CC"/>
      </bottom>
      <diagonal/>
    </border>
    <border>
      <left/>
      <right/>
      <top style="thin">
        <color rgb="FF333399"/>
      </top>
      <bottom style="double">
        <color rgb="FF333399"/>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right/>
      <top/>
      <bottom style="double">
        <color rgb="FFFF9900"/>
      </bottom>
      <diagonal/>
    </border>
    <border>
      <left style="thin">
        <color rgb="FF333333"/>
      </left>
      <right style="thin">
        <color rgb="FF333333"/>
      </right>
      <top style="thin">
        <color rgb="FF333333"/>
      </top>
      <bottom style="thin">
        <color rgb="FF333333"/>
      </bottom>
      <diagonal/>
    </border>
    <border>
      <left style="thin">
        <color rgb="FFC0C0C0"/>
      </left>
      <right style="thin">
        <color rgb="FFC0C0C0"/>
      </right>
      <top style="thin">
        <color rgb="FFC0C0C0"/>
      </top>
      <bottom style="thin">
        <color rgb="FFC0C0C0"/>
      </bottom>
      <diagonal/>
    </border>
  </borders>
  <cellStyleXfs count="687">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8" borderId="59"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60" applyNumberFormat="0" applyFill="0" applyAlignment="0" applyProtection="0">
      <alignment vertical="center"/>
    </xf>
    <xf numFmtId="0" fontId="32" fillId="0" borderId="60" applyNumberFormat="0" applyFill="0" applyAlignment="0" applyProtection="0">
      <alignment vertical="center"/>
    </xf>
    <xf numFmtId="0" fontId="33" fillId="0" borderId="61" applyNumberFormat="0" applyFill="0" applyAlignment="0" applyProtection="0">
      <alignment vertical="center"/>
    </xf>
    <xf numFmtId="0" fontId="33" fillId="0" borderId="0" applyNumberFormat="0" applyFill="0" applyBorder="0" applyAlignment="0" applyProtection="0">
      <alignment vertical="center"/>
    </xf>
    <xf numFmtId="0" fontId="34" fillId="9" borderId="62" applyNumberFormat="0" applyAlignment="0" applyProtection="0">
      <alignment vertical="center"/>
    </xf>
    <xf numFmtId="0" fontId="35" fillId="10" borderId="63" applyNumberFormat="0" applyAlignment="0" applyProtection="0">
      <alignment vertical="center"/>
    </xf>
    <xf numFmtId="0" fontId="36" fillId="10" borderId="62" applyNumberFormat="0" applyAlignment="0" applyProtection="0">
      <alignment vertical="center"/>
    </xf>
    <xf numFmtId="0" fontId="37" fillId="11" borderId="64" applyNumberFormat="0" applyAlignment="0" applyProtection="0">
      <alignment vertical="center"/>
    </xf>
    <xf numFmtId="0" fontId="38" fillId="0" borderId="65" applyNumberFormat="0" applyFill="0" applyAlignment="0" applyProtection="0">
      <alignment vertical="center"/>
    </xf>
    <xf numFmtId="0" fontId="39" fillId="0" borderId="66" applyNumberFormat="0" applyFill="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3" fillId="15"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3" fillId="18" borderId="0" applyNumberFormat="0" applyBorder="0" applyAlignment="0" applyProtection="0">
      <alignment vertical="center"/>
    </xf>
    <xf numFmtId="0" fontId="43"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3" fillId="22" borderId="0" applyNumberFormat="0" applyBorder="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3" fillId="34" borderId="0" applyNumberFormat="0" applyBorder="0" applyAlignment="0" applyProtection="0">
      <alignment vertical="center"/>
    </xf>
    <xf numFmtId="0" fontId="43" fillId="35"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43" fillId="38" borderId="0" applyNumberFormat="0" applyBorder="0" applyAlignment="0" applyProtection="0">
      <alignment vertical="center"/>
    </xf>
    <xf numFmtId="176" fontId="45" fillId="0" borderId="0"/>
    <xf numFmtId="37" fontId="45" fillId="0" borderId="0"/>
    <xf numFmtId="177" fontId="45" fillId="0" borderId="0"/>
    <xf numFmtId="0" fontId="46" fillId="0" borderId="0"/>
    <xf numFmtId="0" fontId="47" fillId="0" borderId="0" applyFont="0" applyFill="0" applyBorder="0" applyAlignment="0" applyProtection="0"/>
    <xf numFmtId="178" fontId="47" fillId="0" borderId="0" applyFont="0" applyFill="0" applyBorder="0" applyAlignment="0" applyProtection="0"/>
    <xf numFmtId="0" fontId="48" fillId="0" borderId="0"/>
    <xf numFmtId="178" fontId="49" fillId="0" borderId="0"/>
    <xf numFmtId="0" fontId="50" fillId="0" borderId="0"/>
    <xf numFmtId="49" fontId="51" fillId="0" borderId="0" applyProtection="0">
      <alignment horizontal="left"/>
    </xf>
    <xf numFmtId="179" fontId="52" fillId="0" borderId="0" applyFont="0" applyFill="0" applyBorder="0">
      <alignment vertical="center"/>
    </xf>
    <xf numFmtId="0" fontId="52" fillId="39" borderId="0" applyNumberFormat="0" applyBorder="0" applyAlignment="0" applyProtection="0">
      <alignment vertical="center"/>
    </xf>
    <xf numFmtId="178" fontId="52" fillId="39" borderId="0" applyNumberFormat="0" applyBorder="0" applyAlignment="0" applyProtection="0">
      <alignment vertical="center"/>
    </xf>
    <xf numFmtId="0" fontId="53" fillId="0" borderId="0"/>
    <xf numFmtId="178" fontId="53" fillId="0" borderId="0"/>
    <xf numFmtId="0" fontId="54" fillId="0" borderId="0">
      <protection locked="0"/>
    </xf>
    <xf numFmtId="178" fontId="54" fillId="0" borderId="0">
      <protection locked="0"/>
    </xf>
    <xf numFmtId="0" fontId="55" fillId="0" borderId="0"/>
    <xf numFmtId="178" fontId="55" fillId="0" borderId="0"/>
    <xf numFmtId="0" fontId="54" fillId="0" borderId="0"/>
    <xf numFmtId="178" fontId="54" fillId="0" borderId="0"/>
    <xf numFmtId="0" fontId="54" fillId="0" borderId="0" applyFont="0" applyFill="0" applyBorder="0" applyAlignment="0" applyProtection="0"/>
    <xf numFmtId="178" fontId="54" fillId="0" borderId="0" applyFont="0" applyFill="0" applyBorder="0" applyAlignment="0" applyProtection="0"/>
    <xf numFmtId="178" fontId="49" fillId="0" borderId="0" applyProtection="0"/>
    <xf numFmtId="0" fontId="56" fillId="0" borderId="0">
      <alignment vertical="top"/>
    </xf>
    <xf numFmtId="0" fontId="53" fillId="0" borderId="0">
      <protection locked="0"/>
    </xf>
    <xf numFmtId="178" fontId="53" fillId="0" borderId="0">
      <protection locked="0"/>
    </xf>
    <xf numFmtId="180" fontId="45" fillId="0" borderId="0"/>
    <xf numFmtId="181" fontId="54" fillId="0" borderId="0" applyFont="0" applyFill="0" applyBorder="0" applyAlignment="0" applyProtection="0"/>
    <xf numFmtId="182" fontId="54" fillId="0" borderId="0" applyFont="0" applyFill="0" applyBorder="0" applyAlignment="0" applyProtection="0"/>
    <xf numFmtId="183" fontId="54" fillId="0" borderId="0" applyFont="0" applyFill="0" applyBorder="0" applyAlignment="0" applyProtection="0"/>
    <xf numFmtId="39" fontId="54" fillId="0" borderId="0" applyFont="0" applyFill="0" applyBorder="0" applyAlignment="0" applyProtection="0"/>
    <xf numFmtId="0" fontId="53" fillId="0" borderId="0">
      <alignment vertical="center"/>
    </xf>
    <xf numFmtId="0" fontId="45" fillId="0" borderId="0"/>
    <xf numFmtId="178" fontId="45" fillId="0" borderId="0"/>
    <xf numFmtId="184" fontId="45" fillId="0" borderId="0"/>
    <xf numFmtId="185" fontId="45" fillId="0" borderId="0"/>
    <xf numFmtId="186" fontId="54" fillId="0" borderId="0"/>
    <xf numFmtId="187" fontId="54" fillId="0" borderId="0" applyFont="0" applyFill="0" applyBorder="0" applyAlignment="0" applyProtection="0"/>
    <xf numFmtId="188" fontId="54" fillId="0" borderId="0" applyFont="0" applyFill="0" applyBorder="0" applyAlignment="0" applyProtection="0"/>
    <xf numFmtId="189" fontId="54" fillId="0" borderId="0" applyFont="0" applyFill="0" applyBorder="0" applyAlignment="0" applyProtection="0"/>
    <xf numFmtId="190" fontId="54" fillId="0" borderId="0" applyFont="0" applyFill="0" applyBorder="0" applyAlignment="0" applyProtection="0"/>
    <xf numFmtId="191" fontId="45" fillId="0" borderId="0"/>
    <xf numFmtId="192" fontId="45" fillId="0" borderId="0"/>
    <xf numFmtId="0" fontId="57" fillId="0" borderId="67" applyNumberFormat="0" applyFill="0" applyAlignment="0" applyProtection="0">
      <alignment vertical="center"/>
    </xf>
    <xf numFmtId="178" fontId="57" fillId="0" borderId="67" applyNumberFormat="0" applyFill="0" applyAlignment="0" applyProtection="0">
      <alignment vertical="center"/>
    </xf>
    <xf numFmtId="0" fontId="58" fillId="40" borderId="68" applyNumberFormat="0" applyAlignment="0" applyProtection="0">
      <alignment vertical="center"/>
    </xf>
    <xf numFmtId="178" fontId="58" fillId="40" borderId="68" applyNumberFormat="0" applyAlignment="0" applyProtection="0">
      <alignment vertical="center"/>
    </xf>
    <xf numFmtId="193" fontId="51" fillId="0" borderId="0" applyFill="0" applyBorder="0" applyProtection="0">
      <alignment horizontal="right"/>
    </xf>
    <xf numFmtId="194" fontId="51" fillId="0" borderId="0" applyFill="0" applyBorder="0" applyProtection="0">
      <alignment horizontal="right"/>
    </xf>
    <xf numFmtId="195" fontId="59" fillId="0" borderId="0" applyFill="0" applyBorder="0" applyProtection="0">
      <alignment horizontal="center"/>
    </xf>
    <xf numFmtId="196" fontId="59" fillId="0" borderId="0" applyFill="0" applyBorder="0" applyProtection="0">
      <alignment horizontal="center"/>
    </xf>
    <xf numFmtId="197" fontId="60" fillId="0" borderId="0" applyFill="0" applyBorder="0" applyProtection="0">
      <alignment horizontal="right"/>
    </xf>
    <xf numFmtId="198" fontId="51" fillId="0" borderId="0" applyFill="0" applyBorder="0" applyProtection="0">
      <alignment horizontal="right"/>
    </xf>
    <xf numFmtId="199" fontId="51" fillId="0" borderId="0" applyFill="0" applyBorder="0" applyProtection="0">
      <alignment horizontal="right"/>
    </xf>
    <xf numFmtId="200" fontId="51" fillId="0" borderId="0" applyFill="0" applyBorder="0" applyProtection="0">
      <alignment horizontal="right"/>
    </xf>
    <xf numFmtId="201" fontId="51" fillId="0" borderId="0" applyFill="0" applyBorder="0" applyProtection="0">
      <alignment horizontal="right"/>
    </xf>
    <xf numFmtId="0" fontId="54" fillId="41" borderId="69" applyNumberFormat="0" applyFont="0" applyAlignment="0" applyProtection="0">
      <alignment vertical="center"/>
    </xf>
    <xf numFmtId="0" fontId="61" fillId="0" borderId="0" applyNumberFormat="0" applyFill="0" applyBorder="0" applyAlignment="0" applyProtection="0">
      <alignment vertical="center"/>
    </xf>
    <xf numFmtId="178" fontId="54" fillId="41" borderId="69" applyNumberFormat="0" applyFont="0" applyAlignment="0" applyProtection="0">
      <alignment vertical="center"/>
    </xf>
    <xf numFmtId="178" fontId="61" fillId="0" borderId="0" applyNumberFormat="0" applyFill="0" applyBorder="0" applyAlignment="0" applyProtection="0">
      <alignment vertical="center"/>
    </xf>
    <xf numFmtId="202" fontId="62" fillId="0" borderId="0" applyFont="0" applyFill="0" applyBorder="0" applyAlignment="0" applyProtection="0"/>
    <xf numFmtId="0" fontId="63" fillId="0" borderId="0">
      <alignment vertical="center"/>
    </xf>
    <xf numFmtId="0" fontId="49" fillId="0" borderId="0"/>
    <xf numFmtId="0" fontId="63" fillId="0" borderId="0"/>
    <xf numFmtId="203" fontId="62" fillId="0" borderId="0" applyFont="0" applyFill="0" applyBorder="0" applyAlignment="0" applyProtection="0"/>
    <xf numFmtId="10" fontId="62" fillId="0" borderId="0" applyFont="0" applyFill="0" applyBorder="0" applyAlignment="0" applyProtection="0"/>
    <xf numFmtId="41" fontId="64" fillId="0" borderId="0" applyFont="0" applyFill="0" applyBorder="0" applyAlignment="0" applyProtection="0"/>
    <xf numFmtId="3" fontId="45" fillId="0" borderId="0"/>
    <xf numFmtId="204" fontId="45" fillId="0" borderId="0" applyBorder="0"/>
    <xf numFmtId="0" fontId="65" fillId="42" borderId="0" applyNumberFormat="0" applyBorder="0" applyAlignment="0" applyProtection="0"/>
    <xf numFmtId="0" fontId="52" fillId="43" borderId="0" applyNumberFormat="0" applyBorder="0" applyAlignment="0" applyProtection="0">
      <alignment vertical="center"/>
    </xf>
    <xf numFmtId="178" fontId="52" fillId="43" borderId="0" applyNumberFormat="0" applyBorder="0" applyAlignment="0" applyProtection="0">
      <alignment vertical="center"/>
    </xf>
    <xf numFmtId="0" fontId="52" fillId="44" borderId="0" applyNumberFormat="0" applyBorder="0" applyAlignment="0" applyProtection="0">
      <alignment vertical="center"/>
    </xf>
    <xf numFmtId="178" fontId="65" fillId="43" borderId="0" applyNumberFormat="0" applyBorder="0" applyAlignment="0" applyProtection="0"/>
    <xf numFmtId="178" fontId="52" fillId="44" borderId="0" applyNumberFormat="0" applyBorder="0" applyAlignment="0" applyProtection="0">
      <alignment vertical="center"/>
    </xf>
    <xf numFmtId="0" fontId="65" fillId="43" borderId="0" applyNumberFormat="0" applyBorder="0" applyAlignment="0" applyProtection="0"/>
    <xf numFmtId="0" fontId="65" fillId="45" borderId="0" applyNumberFormat="0" applyBorder="0" applyAlignment="0" applyProtection="0"/>
    <xf numFmtId="0" fontId="52" fillId="46" borderId="0" applyNumberFormat="0" applyBorder="0" applyAlignment="0" applyProtection="0">
      <alignment vertical="center"/>
    </xf>
    <xf numFmtId="178" fontId="52" fillId="46" borderId="0" applyNumberFormat="0" applyBorder="0" applyAlignment="0" applyProtection="0">
      <alignment vertical="center"/>
    </xf>
    <xf numFmtId="0" fontId="52" fillId="47" borderId="0" applyNumberFormat="0" applyBorder="0" applyAlignment="0" applyProtection="0">
      <alignment vertical="center"/>
    </xf>
    <xf numFmtId="178" fontId="65" fillId="46" borderId="0" applyNumberFormat="0" applyBorder="0" applyAlignment="0" applyProtection="0"/>
    <xf numFmtId="178" fontId="52" fillId="47" borderId="0" applyNumberFormat="0" applyBorder="0" applyAlignment="0" applyProtection="0">
      <alignment vertical="center"/>
    </xf>
    <xf numFmtId="0" fontId="65" fillId="46" borderId="0" applyNumberFormat="0" applyBorder="0" applyAlignment="0" applyProtection="0"/>
    <xf numFmtId="0" fontId="52" fillId="48" borderId="0" applyNumberFormat="0" applyBorder="0" applyAlignment="0" applyProtection="0">
      <alignment vertical="center"/>
    </xf>
    <xf numFmtId="178" fontId="52" fillId="48" borderId="0" applyNumberFormat="0" applyBorder="0" applyAlignment="0" applyProtection="0">
      <alignment vertical="center"/>
    </xf>
    <xf numFmtId="0" fontId="52" fillId="41" borderId="0" applyNumberFormat="0" applyBorder="0" applyAlignment="0" applyProtection="0">
      <alignment vertical="center"/>
    </xf>
    <xf numFmtId="178" fontId="65" fillId="48" borderId="0" applyNumberFormat="0" applyBorder="0" applyAlignment="0" applyProtection="0"/>
    <xf numFmtId="178" fontId="52" fillId="41" borderId="0" applyNumberFormat="0" applyBorder="0" applyAlignment="0" applyProtection="0">
      <alignment vertical="center"/>
    </xf>
    <xf numFmtId="0" fontId="65" fillId="48" borderId="0" applyNumberFormat="0" applyBorder="0" applyAlignment="0" applyProtection="0"/>
    <xf numFmtId="0" fontId="65" fillId="40" borderId="0" applyNumberFormat="0" applyBorder="0" applyAlignment="0" applyProtection="0"/>
    <xf numFmtId="0" fontId="52" fillId="49" borderId="0" applyNumberFormat="0" applyBorder="0" applyAlignment="0" applyProtection="0">
      <alignment vertical="center"/>
    </xf>
    <xf numFmtId="178" fontId="52" fillId="49" borderId="0" applyNumberFormat="0" applyBorder="0" applyAlignment="0" applyProtection="0">
      <alignment vertical="center"/>
    </xf>
    <xf numFmtId="178" fontId="65" fillId="49" borderId="0" applyNumberFormat="0" applyBorder="0" applyAlignment="0" applyProtection="0"/>
    <xf numFmtId="0" fontId="65" fillId="49" borderId="0" applyNumberFormat="0" applyBorder="0" applyAlignment="0" applyProtection="0"/>
    <xf numFmtId="0" fontId="52" fillId="50" borderId="0" applyNumberFormat="0" applyBorder="0" applyAlignment="0" applyProtection="0">
      <alignment vertical="center"/>
    </xf>
    <xf numFmtId="178" fontId="52" fillId="50" borderId="0" applyNumberFormat="0" applyBorder="0" applyAlignment="0" applyProtection="0">
      <alignment vertical="center"/>
    </xf>
    <xf numFmtId="178" fontId="65" fillId="50" borderId="0" applyNumberFormat="0" applyBorder="0" applyAlignment="0" applyProtection="0"/>
    <xf numFmtId="0" fontId="65" fillId="50" borderId="0" applyNumberFormat="0" applyBorder="0" applyAlignment="0" applyProtection="0"/>
    <xf numFmtId="178" fontId="65" fillId="47" borderId="0" applyNumberFormat="0" applyBorder="0" applyAlignment="0" applyProtection="0"/>
    <xf numFmtId="0" fontId="65" fillId="47" borderId="0" applyNumberFormat="0" applyBorder="0" applyAlignment="0" applyProtection="0"/>
    <xf numFmtId="0" fontId="0" fillId="51"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6" borderId="0" applyNumberFormat="0" applyBorder="0" applyAlignment="0" applyProtection="0">
      <alignment vertical="center"/>
    </xf>
    <xf numFmtId="0" fontId="66" fillId="0" borderId="0"/>
    <xf numFmtId="0" fontId="52" fillId="57" borderId="0" applyNumberFormat="0" applyBorder="0" applyAlignment="0" applyProtection="0">
      <alignment vertical="center"/>
    </xf>
    <xf numFmtId="178" fontId="52" fillId="57" borderId="0" applyNumberFormat="0" applyBorder="0" applyAlignment="0" applyProtection="0">
      <alignment vertical="center"/>
    </xf>
    <xf numFmtId="0" fontId="52" fillId="40" borderId="0" applyNumberFormat="0" applyBorder="0" applyAlignment="0" applyProtection="0">
      <alignment vertical="center"/>
    </xf>
    <xf numFmtId="178" fontId="65" fillId="57" borderId="0" applyNumberFormat="0" applyBorder="0" applyAlignment="0" applyProtection="0"/>
    <xf numFmtId="178" fontId="52" fillId="40" borderId="0" applyNumberFormat="0" applyBorder="0" applyAlignment="0" applyProtection="0">
      <alignment vertical="center"/>
    </xf>
    <xf numFmtId="0" fontId="65" fillId="57" borderId="0" applyNumberFormat="0" applyBorder="0" applyAlignment="0" applyProtection="0"/>
    <xf numFmtId="0" fontId="52" fillId="42" borderId="0" applyNumberFormat="0" applyBorder="0" applyAlignment="0" applyProtection="0">
      <alignment vertical="center"/>
    </xf>
    <xf numFmtId="178" fontId="52" fillId="42" borderId="0" applyNumberFormat="0" applyBorder="0" applyAlignment="0" applyProtection="0">
      <alignment vertical="center"/>
    </xf>
    <xf numFmtId="178" fontId="65" fillId="42" borderId="0" applyNumberFormat="0" applyBorder="0" applyAlignment="0" applyProtection="0"/>
    <xf numFmtId="0" fontId="52" fillId="58" borderId="0" applyNumberFormat="0" applyBorder="0" applyAlignment="0" applyProtection="0">
      <alignment vertical="center"/>
    </xf>
    <xf numFmtId="178" fontId="65" fillId="39" borderId="0" applyNumberFormat="0" applyBorder="0" applyAlignment="0" applyProtection="0"/>
    <xf numFmtId="178" fontId="52" fillId="58" borderId="0" applyNumberFormat="0" applyBorder="0" applyAlignment="0" applyProtection="0">
      <alignment vertical="center"/>
    </xf>
    <xf numFmtId="0" fontId="65" fillId="39" borderId="0" applyNumberFormat="0" applyBorder="0" applyAlignment="0" applyProtection="0"/>
    <xf numFmtId="0" fontId="52" fillId="59" borderId="0" applyNumberFormat="0" applyBorder="0" applyAlignment="0" applyProtection="0">
      <alignment vertical="center"/>
    </xf>
    <xf numFmtId="178" fontId="52" fillId="59" borderId="0" applyNumberFormat="0" applyBorder="0" applyAlignment="0" applyProtection="0">
      <alignment vertical="center"/>
    </xf>
    <xf numFmtId="178" fontId="65" fillId="59" borderId="0" applyNumberFormat="0" applyBorder="0" applyAlignment="0" applyProtection="0"/>
    <xf numFmtId="0" fontId="65" fillId="59" borderId="0" applyNumberFormat="0" applyBorder="0" applyAlignment="0" applyProtection="0"/>
    <xf numFmtId="0" fontId="0" fillId="17" borderId="0" applyNumberFormat="0" applyBorder="0" applyAlignment="0" applyProtection="0">
      <alignment vertical="center"/>
    </xf>
    <xf numFmtId="0" fontId="0" fillId="21" borderId="0" applyNumberFormat="0" applyBorder="0" applyAlignment="0" applyProtection="0">
      <alignment vertical="center"/>
    </xf>
    <xf numFmtId="0" fontId="0" fillId="25" borderId="0" applyNumberFormat="0" applyBorder="0" applyAlignment="0" applyProtection="0">
      <alignment vertical="center"/>
    </xf>
    <xf numFmtId="0" fontId="0" fillId="29" borderId="0" applyNumberFormat="0" applyBorder="0" applyAlignment="0" applyProtection="0">
      <alignment vertical="center"/>
    </xf>
    <xf numFmtId="0" fontId="0" fillId="33" borderId="0" applyNumberFormat="0" applyBorder="0" applyAlignment="0" applyProtection="0">
      <alignment vertical="center"/>
    </xf>
    <xf numFmtId="0" fontId="0" fillId="37" borderId="0" applyNumberFormat="0" applyBorder="0" applyAlignment="0" applyProtection="0">
      <alignment vertical="center"/>
    </xf>
    <xf numFmtId="0" fontId="67" fillId="60" borderId="0" applyNumberFormat="0" applyBorder="0" applyAlignment="0" applyProtection="0"/>
    <xf numFmtId="0" fontId="68" fillId="61" borderId="0" applyNumberFormat="0" applyBorder="0" applyAlignment="0" applyProtection="0">
      <alignment vertical="center"/>
    </xf>
    <xf numFmtId="178" fontId="68" fillId="61" borderId="0" applyNumberFormat="0" applyBorder="0" applyAlignment="0" applyProtection="0">
      <alignment vertical="center"/>
    </xf>
    <xf numFmtId="0" fontId="69" fillId="62" borderId="0" applyNumberFormat="0" applyBorder="0" applyAlignment="0" applyProtection="0">
      <alignment vertical="center"/>
    </xf>
    <xf numFmtId="178" fontId="70" fillId="61" borderId="0" applyNumberFormat="0" applyBorder="0" applyAlignment="0" applyProtection="0"/>
    <xf numFmtId="178" fontId="69" fillId="62" borderId="0" applyNumberFormat="0" applyBorder="0" applyAlignment="0" applyProtection="0">
      <alignment vertical="center"/>
    </xf>
    <xf numFmtId="0" fontId="70" fillId="61" borderId="0" applyNumberFormat="0" applyBorder="0" applyAlignment="0" applyProtection="0"/>
    <xf numFmtId="0" fontId="67" fillId="45" borderId="0" applyNumberFormat="0" applyBorder="0" applyAlignment="0" applyProtection="0"/>
    <xf numFmtId="0" fontId="68" fillId="42" borderId="0" applyNumberFormat="0" applyBorder="0" applyAlignment="0" applyProtection="0">
      <alignment vertical="center"/>
    </xf>
    <xf numFmtId="178" fontId="68" fillId="42" borderId="0" applyNumberFormat="0" applyBorder="0" applyAlignment="0" applyProtection="0">
      <alignment vertical="center"/>
    </xf>
    <xf numFmtId="0" fontId="69" fillId="42" borderId="0" applyNumberFormat="0" applyBorder="0" applyAlignment="0" applyProtection="0">
      <alignment vertical="center"/>
    </xf>
    <xf numFmtId="178" fontId="70" fillId="42" borderId="0" applyNumberFormat="0" applyBorder="0" applyAlignment="0" applyProtection="0"/>
    <xf numFmtId="178" fontId="69" fillId="42" borderId="0" applyNumberFormat="0" applyBorder="0" applyAlignment="0" applyProtection="0">
      <alignment vertical="center"/>
    </xf>
    <xf numFmtId="0" fontId="70" fillId="42" borderId="0" applyNumberFormat="0" applyBorder="0" applyAlignment="0" applyProtection="0"/>
    <xf numFmtId="0" fontId="68" fillId="39" borderId="0" applyNumberFormat="0" applyBorder="0" applyAlignment="0" applyProtection="0">
      <alignment vertical="center"/>
    </xf>
    <xf numFmtId="178" fontId="68" fillId="39" borderId="0" applyNumberFormat="0" applyBorder="0" applyAlignment="0" applyProtection="0">
      <alignment vertical="center"/>
    </xf>
    <xf numFmtId="0" fontId="69" fillId="58" borderId="0" applyNumberFormat="0" applyBorder="0" applyAlignment="0" applyProtection="0">
      <alignment vertical="center"/>
    </xf>
    <xf numFmtId="178" fontId="70" fillId="39" borderId="0" applyNumberFormat="0" applyBorder="0" applyAlignment="0" applyProtection="0"/>
    <xf numFmtId="178" fontId="69" fillId="58" borderId="0" applyNumberFormat="0" applyBorder="0" applyAlignment="0" applyProtection="0">
      <alignment vertical="center"/>
    </xf>
    <xf numFmtId="0" fontId="70" fillId="39" borderId="0" applyNumberFormat="0" applyBorder="0" applyAlignment="0" applyProtection="0"/>
    <xf numFmtId="0" fontId="67" fillId="40" borderId="0" applyNumberFormat="0" applyBorder="0" applyAlignment="0" applyProtection="0"/>
    <xf numFmtId="0" fontId="68" fillId="63" borderId="0" applyNumberFormat="0" applyBorder="0" applyAlignment="0" applyProtection="0">
      <alignment vertical="center"/>
    </xf>
    <xf numFmtId="178" fontId="68" fillId="63" borderId="0" applyNumberFormat="0" applyBorder="0" applyAlignment="0" applyProtection="0">
      <alignment vertical="center"/>
    </xf>
    <xf numFmtId="0" fontId="69" fillId="40" borderId="0" applyNumberFormat="0" applyBorder="0" applyAlignment="0" applyProtection="0">
      <alignment vertical="center"/>
    </xf>
    <xf numFmtId="178" fontId="70" fillId="63" borderId="0" applyNumberFormat="0" applyBorder="0" applyAlignment="0" applyProtection="0"/>
    <xf numFmtId="178" fontId="69" fillId="40" borderId="0" applyNumberFormat="0" applyBorder="0" applyAlignment="0" applyProtection="0">
      <alignment vertical="center"/>
    </xf>
    <xf numFmtId="0" fontId="70" fillId="63" borderId="0" applyNumberFormat="0" applyBorder="0" applyAlignment="0" applyProtection="0"/>
    <xf numFmtId="0" fontId="68" fillId="62" borderId="0" applyNumberFormat="0" applyBorder="0" applyAlignment="0" applyProtection="0">
      <alignment vertical="center"/>
    </xf>
    <xf numFmtId="178" fontId="68" fillId="62" borderId="0" applyNumberFormat="0" applyBorder="0" applyAlignment="0" applyProtection="0">
      <alignment vertical="center"/>
    </xf>
    <xf numFmtId="178" fontId="70" fillId="62" borderId="0" applyNumberFormat="0" applyBorder="0" applyAlignment="0" applyProtection="0"/>
    <xf numFmtId="0" fontId="70" fillId="62" borderId="0" applyNumberFormat="0" applyBorder="0" applyAlignment="0" applyProtection="0"/>
    <xf numFmtId="0" fontId="68" fillId="64" borderId="0" applyNumberFormat="0" applyBorder="0" applyAlignment="0" applyProtection="0">
      <alignment vertical="center"/>
    </xf>
    <xf numFmtId="178" fontId="68" fillId="64" borderId="0" applyNumberFormat="0" applyBorder="0" applyAlignment="0" applyProtection="0">
      <alignment vertical="center"/>
    </xf>
    <xf numFmtId="0" fontId="69" fillId="47" borderId="0" applyNumberFormat="0" applyBorder="0" applyAlignment="0" applyProtection="0">
      <alignment vertical="center"/>
    </xf>
    <xf numFmtId="178" fontId="70" fillId="64" borderId="0" applyNumberFormat="0" applyBorder="0" applyAlignment="0" applyProtection="0"/>
    <xf numFmtId="178" fontId="69" fillId="47" borderId="0" applyNumberFormat="0" applyBorder="0" applyAlignment="0" applyProtection="0">
      <alignment vertical="center"/>
    </xf>
    <xf numFmtId="0" fontId="70" fillId="64" borderId="0" applyNumberFormat="0" applyBorder="0" applyAlignment="0" applyProtection="0"/>
    <xf numFmtId="0" fontId="71" fillId="65" borderId="0" applyNumberFormat="0" applyBorder="0" applyAlignment="0" applyProtection="0">
      <alignment vertical="center"/>
    </xf>
    <xf numFmtId="0" fontId="71" fillId="66" borderId="0" applyNumberFormat="0" applyBorder="0" applyAlignment="0" applyProtection="0">
      <alignment vertical="center"/>
    </xf>
    <xf numFmtId="0" fontId="71" fillId="67" borderId="0" applyNumberFormat="0" applyBorder="0" applyAlignment="0" applyProtection="0">
      <alignment vertical="center"/>
    </xf>
    <xf numFmtId="0" fontId="71" fillId="68" borderId="0" applyNumberFormat="0" applyBorder="0" applyAlignment="0" applyProtection="0">
      <alignment vertical="center"/>
    </xf>
    <xf numFmtId="0" fontId="71" fillId="69" borderId="0" applyNumberFormat="0" applyBorder="0" applyAlignment="0" applyProtection="0">
      <alignment vertical="center"/>
    </xf>
    <xf numFmtId="0" fontId="71" fillId="70" borderId="0" applyNumberFormat="0" applyBorder="0" applyAlignment="0" applyProtection="0">
      <alignment vertical="center"/>
    </xf>
    <xf numFmtId="0" fontId="55" fillId="0" borderId="0">
      <protection locked="0"/>
    </xf>
    <xf numFmtId="0" fontId="72" fillId="0" borderId="0" applyNumberFormat="0" applyFont="0" applyBorder="0" applyAlignment="0" applyProtection="0">
      <alignment horizontal="left" vertical="top"/>
      <protection locked="0"/>
    </xf>
    <xf numFmtId="178" fontId="72" fillId="0" borderId="0" applyNumberFormat="0" applyFont="0" applyBorder="0" applyAlignment="0" applyProtection="0">
      <alignment horizontal="left" vertical="top"/>
      <protection locked="0"/>
    </xf>
    <xf numFmtId="0" fontId="68" fillId="71" borderId="0" applyNumberFormat="0" applyBorder="0" applyAlignment="0" applyProtection="0">
      <alignment vertical="center"/>
    </xf>
    <xf numFmtId="178" fontId="68" fillId="71" borderId="0" applyNumberFormat="0" applyBorder="0" applyAlignment="0" applyProtection="0">
      <alignment vertical="center"/>
    </xf>
    <xf numFmtId="178" fontId="70" fillId="71" borderId="0" applyNumberFormat="0" applyBorder="0" applyAlignment="0" applyProtection="0"/>
    <xf numFmtId="0" fontId="70" fillId="71" borderId="0" applyNumberFormat="0" applyBorder="0" applyAlignment="0" applyProtection="0"/>
    <xf numFmtId="0" fontId="67" fillId="72" borderId="0" applyNumberFormat="0" applyBorder="0" applyAlignment="0" applyProtection="0"/>
    <xf numFmtId="0" fontId="68" fillId="72" borderId="0" applyNumberFormat="0" applyBorder="0" applyAlignment="0" applyProtection="0">
      <alignment vertical="center"/>
    </xf>
    <xf numFmtId="178" fontId="68" fillId="72" borderId="0" applyNumberFormat="0" applyBorder="0" applyAlignment="0" applyProtection="0">
      <alignment vertical="center"/>
    </xf>
    <xf numFmtId="0" fontId="69" fillId="72" borderId="0" applyNumberFormat="0" applyBorder="0" applyAlignment="0" applyProtection="0">
      <alignment vertical="center"/>
    </xf>
    <xf numFmtId="178" fontId="70" fillId="72" borderId="0" applyNumberFormat="0" applyBorder="0" applyAlignment="0" applyProtection="0"/>
    <xf numFmtId="178" fontId="69" fillId="72" borderId="0" applyNumberFormat="0" applyBorder="0" applyAlignment="0" applyProtection="0">
      <alignment vertical="center"/>
    </xf>
    <xf numFmtId="0" fontId="70" fillId="72" borderId="0" applyNumberFormat="0" applyBorder="0" applyAlignment="0" applyProtection="0"/>
    <xf numFmtId="0" fontId="68" fillId="73" borderId="0" applyNumberFormat="0" applyBorder="0" applyAlignment="0" applyProtection="0">
      <alignment vertical="center"/>
    </xf>
    <xf numFmtId="178" fontId="68" fillId="73" borderId="0" applyNumberFormat="0" applyBorder="0" applyAlignment="0" applyProtection="0">
      <alignment vertical="center"/>
    </xf>
    <xf numFmtId="0" fontId="69" fillId="73" borderId="0" applyNumberFormat="0" applyBorder="0" applyAlignment="0" applyProtection="0">
      <alignment vertical="center"/>
    </xf>
    <xf numFmtId="178" fontId="70" fillId="73" borderId="0" applyNumberFormat="0" applyBorder="0" applyAlignment="0" applyProtection="0"/>
    <xf numFmtId="178" fontId="69" fillId="73" borderId="0" applyNumberFormat="0" applyBorder="0" applyAlignment="0" applyProtection="0">
      <alignment vertical="center"/>
    </xf>
    <xf numFmtId="0" fontId="70" fillId="73" borderId="0" applyNumberFormat="0" applyBorder="0" applyAlignment="0" applyProtection="0"/>
    <xf numFmtId="0" fontId="67" fillId="74" borderId="0" applyNumberFormat="0" applyBorder="0" applyAlignment="0" applyProtection="0"/>
    <xf numFmtId="0" fontId="69" fillId="74" borderId="0" applyNumberFormat="0" applyBorder="0" applyAlignment="0" applyProtection="0">
      <alignment vertical="center"/>
    </xf>
    <xf numFmtId="178" fontId="69" fillId="74" borderId="0" applyNumberFormat="0" applyBorder="0" applyAlignment="0" applyProtection="0">
      <alignment vertical="center"/>
    </xf>
    <xf numFmtId="0" fontId="67" fillId="75" borderId="0" applyNumberFormat="0" applyBorder="0" applyAlignment="0" applyProtection="0"/>
    <xf numFmtId="0" fontId="68" fillId="75" borderId="0" applyNumberFormat="0" applyBorder="0" applyAlignment="0" applyProtection="0">
      <alignment vertical="center"/>
    </xf>
    <xf numFmtId="178" fontId="68" fillId="75" borderId="0" applyNumberFormat="0" applyBorder="0" applyAlignment="0" applyProtection="0">
      <alignment vertical="center"/>
    </xf>
    <xf numFmtId="0" fontId="69" fillId="75" borderId="0" applyNumberFormat="0" applyBorder="0" applyAlignment="0" applyProtection="0">
      <alignment vertical="center"/>
    </xf>
    <xf numFmtId="178" fontId="70" fillId="75" borderId="0" applyNumberFormat="0" applyBorder="0" applyAlignment="0" applyProtection="0"/>
    <xf numFmtId="178" fontId="69" fillId="75" borderId="0" applyNumberFormat="0" applyBorder="0" applyAlignment="0" applyProtection="0">
      <alignment vertical="center"/>
    </xf>
    <xf numFmtId="0" fontId="70" fillId="75" borderId="0" applyNumberFormat="0" applyBorder="0" applyAlignment="0" applyProtection="0"/>
    <xf numFmtId="0" fontId="73" fillId="0" borderId="0">
      <alignment horizontal="center" wrapText="1"/>
      <protection locked="0"/>
    </xf>
    <xf numFmtId="178" fontId="73" fillId="0" borderId="0">
      <alignment horizontal="center" wrapText="1"/>
      <protection locked="0"/>
    </xf>
    <xf numFmtId="0" fontId="74" fillId="76" borderId="0" applyNumberFormat="0" applyBorder="0" applyAlignment="0" applyProtection="0"/>
    <xf numFmtId="0" fontId="75" fillId="46" borderId="0" applyNumberFormat="0" applyBorder="0" applyAlignment="0" applyProtection="0">
      <alignment vertical="center"/>
    </xf>
    <xf numFmtId="178" fontId="75" fillId="46" borderId="0" applyNumberFormat="0" applyBorder="0" applyAlignment="0" applyProtection="0">
      <alignment vertical="center"/>
    </xf>
    <xf numFmtId="178" fontId="74" fillId="46" borderId="0" applyNumberFormat="0" applyBorder="0" applyAlignment="0" applyProtection="0"/>
    <xf numFmtId="0" fontId="74" fillId="46" borderId="0" applyNumberFormat="0" applyBorder="0" applyAlignment="0" applyProtection="0"/>
    <xf numFmtId="3" fontId="76" fillId="0" borderId="0"/>
    <xf numFmtId="191" fontId="77" fillId="0" borderId="0" applyNumberFormat="0" applyFill="0" applyBorder="0" applyAlignment="0" applyProtection="0"/>
    <xf numFmtId="205" fontId="78" fillId="0" borderId="11" applyAlignment="0" applyProtection="0"/>
    <xf numFmtId="49" fontId="79" fillId="0" borderId="0" applyFont="0" applyFill="0" applyBorder="0" applyAlignment="0" applyProtection="0">
      <alignment horizontal="left"/>
    </xf>
    <xf numFmtId="206" fontId="80" fillId="0" borderId="0" applyAlignment="0" applyProtection="0"/>
    <xf numFmtId="203" fontId="81" fillId="0" borderId="0" applyFill="0" applyBorder="0" applyAlignment="0" applyProtection="0"/>
    <xf numFmtId="49" fontId="81" fillId="0" borderId="0" applyNumberFormat="0" applyAlignment="0" applyProtection="0">
      <alignment horizontal="left"/>
    </xf>
    <xf numFmtId="49" fontId="82" fillId="0" borderId="70" applyNumberFormat="0" applyAlignment="0" applyProtection="0">
      <alignment horizontal="left" wrapText="1"/>
    </xf>
    <xf numFmtId="49" fontId="82" fillId="0" borderId="0" applyNumberFormat="0" applyAlignment="0" applyProtection="0">
      <alignment horizontal="left" wrapText="1"/>
    </xf>
    <xf numFmtId="49" fontId="83" fillId="0" borderId="0" applyAlignment="0" applyProtection="0">
      <alignment horizontal="left"/>
    </xf>
    <xf numFmtId="207" fontId="56" fillId="0" borderId="0" applyFill="0" applyBorder="0" applyAlignment="0"/>
    <xf numFmtId="208" fontId="53" fillId="0" borderId="0" applyFill="0" applyBorder="0" applyAlignment="0"/>
    <xf numFmtId="0" fontId="84" fillId="40" borderId="68" applyNumberFormat="0" applyAlignment="0" applyProtection="0"/>
    <xf numFmtId="0" fontId="58" fillId="44" borderId="68" applyNumberFormat="0" applyAlignment="0" applyProtection="0">
      <alignment vertical="center"/>
    </xf>
    <xf numFmtId="178" fontId="84" fillId="40" borderId="68" applyNumberFormat="0" applyAlignment="0" applyProtection="0"/>
    <xf numFmtId="178" fontId="58" fillId="44" borderId="68" applyNumberFormat="0" applyAlignment="0" applyProtection="0">
      <alignment vertical="center"/>
    </xf>
    <xf numFmtId="0" fontId="85" fillId="0" borderId="0"/>
    <xf numFmtId="0" fontId="86" fillId="77" borderId="71" applyNumberFormat="0" applyAlignment="0" applyProtection="0"/>
    <xf numFmtId="0" fontId="87" fillId="77" borderId="71" applyNumberFormat="0" applyAlignment="0" applyProtection="0">
      <alignment vertical="center"/>
    </xf>
    <xf numFmtId="178" fontId="87" fillId="77" borderId="71" applyNumberFormat="0" applyAlignment="0" applyProtection="0">
      <alignment vertical="center"/>
    </xf>
    <xf numFmtId="0" fontId="88" fillId="77" borderId="71" applyNumberFormat="0" applyAlignment="0" applyProtection="0">
      <alignment vertical="center"/>
    </xf>
    <xf numFmtId="178" fontId="89" fillId="77" borderId="71" applyNumberFormat="0" applyAlignment="0" applyProtection="0"/>
    <xf numFmtId="178" fontId="88" fillId="77" borderId="71" applyNumberFormat="0" applyAlignment="0" applyProtection="0">
      <alignment vertical="center"/>
    </xf>
    <xf numFmtId="0" fontId="89" fillId="77" borderId="71" applyNumberFormat="0" applyAlignment="0" applyProtection="0"/>
    <xf numFmtId="0" fontId="90" fillId="0" borderId="14" applyNumberFormat="0" applyFill="0" applyProtection="0">
      <alignment horizontal="center"/>
    </xf>
    <xf numFmtId="0" fontId="91" fillId="0" borderId="0" applyFill="0" applyBorder="0">
      <alignment horizontal="right"/>
    </xf>
    <xf numFmtId="178" fontId="91" fillId="0" borderId="0" applyFill="0" applyBorder="0">
      <alignment horizontal="right"/>
    </xf>
    <xf numFmtId="0" fontId="53" fillId="0" borderId="0" applyFill="0" applyBorder="0">
      <alignment horizontal="right"/>
    </xf>
    <xf numFmtId="178" fontId="53" fillId="0" borderId="0" applyFill="0" applyBorder="0">
      <alignment horizontal="right"/>
    </xf>
    <xf numFmtId="0" fontId="92" fillId="0" borderId="8">
      <alignment horizontal="center"/>
    </xf>
    <xf numFmtId="209" fontId="54" fillId="0" borderId="0"/>
    <xf numFmtId="43" fontId="93" fillId="0" borderId="0" applyFont="0" applyFill="0" applyBorder="0" applyAlignment="0" applyProtection="0"/>
    <xf numFmtId="43" fontId="94" fillId="0" borderId="0" applyFont="0" applyFill="0" applyBorder="0" applyAlignment="0" applyProtection="0"/>
    <xf numFmtId="210" fontId="49" fillId="0" borderId="0"/>
    <xf numFmtId="211" fontId="49" fillId="0" borderId="0" applyProtection="0"/>
    <xf numFmtId="37" fontId="62" fillId="0" borderId="0" applyFont="0" applyFill="0" applyBorder="0" applyAlignment="0" applyProtection="0"/>
    <xf numFmtId="181" fontId="62" fillId="0" borderId="0" applyFont="0" applyFill="0" applyBorder="0" applyAlignment="0" applyProtection="0"/>
    <xf numFmtId="39" fontId="62" fillId="0" borderId="0" applyFont="0" applyFill="0" applyBorder="0" applyAlignment="0" applyProtection="0"/>
    <xf numFmtId="0" fontId="95" fillId="0" borderId="0"/>
    <xf numFmtId="178" fontId="95" fillId="0" borderId="0"/>
    <xf numFmtId="212" fontId="96" fillId="0" borderId="0"/>
    <xf numFmtId="213" fontId="51" fillId="0" borderId="0"/>
    <xf numFmtId="214" fontId="54" fillId="0" borderId="0"/>
    <xf numFmtId="0" fontId="97" fillId="0" borderId="0" applyNumberFormat="0" applyAlignment="0">
      <alignment horizontal="left"/>
    </xf>
    <xf numFmtId="178" fontId="97" fillId="0" borderId="0" applyNumberFormat="0" applyAlignment="0">
      <alignment horizontal="left"/>
    </xf>
    <xf numFmtId="0" fontId="98" fillId="0" borderId="0" applyNumberFormat="0" applyAlignment="0"/>
    <xf numFmtId="178" fontId="98" fillId="0" borderId="0" applyNumberFormat="0" applyAlignment="0"/>
    <xf numFmtId="42" fontId="49" fillId="0" borderId="0" applyFont="0" applyFill="0" applyBorder="0" applyAlignment="0" applyProtection="0"/>
    <xf numFmtId="205" fontId="62" fillId="0" borderId="0" applyFont="0" applyFill="0" applyBorder="0" applyAlignment="0" applyProtection="0"/>
    <xf numFmtId="215" fontId="62" fillId="0" borderId="0" applyFont="0" applyFill="0" applyBorder="0" applyAlignment="0" applyProtection="0"/>
    <xf numFmtId="216" fontId="49" fillId="0" borderId="0" applyFont="0" applyFill="0" applyBorder="0" applyAlignment="0" applyProtection="0"/>
    <xf numFmtId="217" fontId="49" fillId="0" borderId="0"/>
    <xf numFmtId="218" fontId="49" fillId="0" borderId="0" applyProtection="0"/>
    <xf numFmtId="219" fontId="51" fillId="0" borderId="0">
      <alignment horizontal="left"/>
    </xf>
    <xf numFmtId="15" fontId="99" fillId="0" borderId="0"/>
    <xf numFmtId="41" fontId="54" fillId="0" borderId="0" applyFont="0" applyFill="0" applyBorder="0" applyAlignment="0" applyProtection="0"/>
    <xf numFmtId="43" fontId="54" fillId="0" borderId="0" applyFont="0" applyFill="0" applyBorder="0" applyAlignment="0" applyProtection="0"/>
    <xf numFmtId="0" fontId="100" fillId="0" borderId="0">
      <protection locked="0"/>
    </xf>
    <xf numFmtId="178" fontId="100" fillId="0" borderId="0">
      <protection locked="0"/>
    </xf>
    <xf numFmtId="220" fontId="101" fillId="0" borderId="0"/>
    <xf numFmtId="221" fontId="49" fillId="0" borderId="0"/>
    <xf numFmtId="0" fontId="102" fillId="0" borderId="0">
      <protection locked="0"/>
    </xf>
    <xf numFmtId="178" fontId="102" fillId="0" borderId="0">
      <protection locked="0"/>
    </xf>
    <xf numFmtId="0" fontId="103" fillId="0" borderId="0" applyNumberFormat="0" applyAlignment="0">
      <alignment horizontal="left"/>
    </xf>
    <xf numFmtId="178" fontId="103" fillId="0" borderId="0" applyNumberFormat="0" applyAlignment="0">
      <alignment horizontal="left"/>
    </xf>
    <xf numFmtId="0" fontId="104" fillId="0" borderId="0">
      <alignment horizontal="left"/>
    </xf>
    <xf numFmtId="178" fontId="104" fillId="0" borderId="0">
      <alignment horizontal="left"/>
    </xf>
    <xf numFmtId="0" fontId="81" fillId="78" borderId="1"/>
    <xf numFmtId="178" fontId="81" fillId="78" borderId="1"/>
    <xf numFmtId="178" fontId="53" fillId="0" borderId="0" applyFont="0" applyFill="0" applyBorder="0" applyAlignment="0" applyProtection="0"/>
    <xf numFmtId="184" fontId="51" fillId="0" borderId="0" applyFont="0" applyFill="0" applyBorder="0" applyAlignment="0" applyProtection="0"/>
    <xf numFmtId="0" fontId="105" fillId="0" borderId="0">
      <alignment horizontal="left"/>
    </xf>
    <xf numFmtId="178" fontId="105" fillId="0" borderId="0">
      <alignment horizontal="left"/>
    </xf>
    <xf numFmtId="0" fontId="106" fillId="0" borderId="0" applyNumberFormat="0" applyFill="0" applyBorder="0" applyAlignment="0" applyProtection="0"/>
    <xf numFmtId="0" fontId="107" fillId="0" borderId="0" applyNumberFormat="0" applyFill="0" applyBorder="0" applyAlignment="0" applyProtection="0">
      <alignment vertical="center"/>
    </xf>
    <xf numFmtId="178" fontId="107" fillId="0" borderId="0" applyNumberFormat="0" applyFill="0" applyBorder="0" applyAlignment="0" applyProtection="0">
      <alignment vertical="center"/>
    </xf>
    <xf numFmtId="178" fontId="106" fillId="0" borderId="0" applyNumberFormat="0" applyFill="0" applyBorder="0" applyAlignment="0" applyProtection="0"/>
    <xf numFmtId="2" fontId="108" fillId="0" borderId="0" applyProtection="0"/>
    <xf numFmtId="0" fontId="109" fillId="0" borderId="0" applyNumberFormat="0" applyFill="0" applyBorder="0" applyAlignment="0" applyProtection="0">
      <alignment vertical="top"/>
      <protection locked="0"/>
    </xf>
    <xf numFmtId="222" fontId="110" fillId="0" borderId="0">
      <alignment horizontal="right"/>
    </xf>
    <xf numFmtId="0" fontId="111" fillId="0" borderId="0"/>
    <xf numFmtId="178" fontId="111" fillId="0" borderId="0"/>
    <xf numFmtId="0" fontId="112" fillId="45" borderId="0" applyNumberFormat="0" applyBorder="0" applyAlignment="0" applyProtection="0"/>
    <xf numFmtId="0" fontId="113" fillId="48" borderId="0" applyNumberFormat="0" applyBorder="0" applyAlignment="0" applyProtection="0">
      <alignment vertical="center"/>
    </xf>
    <xf numFmtId="178" fontId="113" fillId="48" borderId="0" applyNumberFormat="0" applyBorder="0" applyAlignment="0" applyProtection="0">
      <alignment vertical="center"/>
    </xf>
    <xf numFmtId="178" fontId="112" fillId="48" borderId="0" applyNumberFormat="0" applyBorder="0" applyAlignment="0" applyProtection="0"/>
    <xf numFmtId="0" fontId="112" fillId="48" borderId="0" applyNumberFormat="0" applyBorder="0" applyAlignment="0" applyProtection="0"/>
    <xf numFmtId="38" fontId="81" fillId="40" borderId="0" applyNumberFormat="0" applyBorder="0" applyAlignment="0" applyProtection="0"/>
    <xf numFmtId="0" fontId="114" fillId="0" borderId="0"/>
    <xf numFmtId="178" fontId="114" fillId="0" borderId="0"/>
    <xf numFmtId="0" fontId="115" fillId="0" borderId="0">
      <alignment horizontal="left"/>
    </xf>
    <xf numFmtId="0" fontId="116" fillId="0" borderId="72" applyNumberFormat="0" applyAlignment="0" applyProtection="0">
      <alignment horizontal="left" vertical="center"/>
    </xf>
    <xf numFmtId="178" fontId="116" fillId="0" borderId="72" applyNumberFormat="0" applyAlignment="0" applyProtection="0">
      <alignment horizontal="left" vertical="center"/>
    </xf>
    <xf numFmtId="0" fontId="116" fillId="0" borderId="54">
      <alignment horizontal="left" vertical="center"/>
    </xf>
    <xf numFmtId="178" fontId="116" fillId="0" borderId="54">
      <alignment horizontal="left" vertical="center"/>
    </xf>
    <xf numFmtId="0" fontId="117" fillId="0" borderId="73" applyNumberFormat="0" applyFill="0" applyAlignment="0" applyProtection="0"/>
    <xf numFmtId="0" fontId="118" fillId="0" borderId="74" applyNumberFormat="0" applyFill="0" applyAlignment="0" applyProtection="0">
      <alignment vertical="center"/>
    </xf>
    <xf numFmtId="178" fontId="118" fillId="0" borderId="74" applyNumberFormat="0" applyFill="0" applyAlignment="0" applyProtection="0">
      <alignment vertical="center"/>
    </xf>
    <xf numFmtId="0" fontId="119" fillId="0" borderId="75" applyNumberFormat="0" applyFill="0" applyAlignment="0" applyProtection="0">
      <alignment vertical="center"/>
    </xf>
    <xf numFmtId="178" fontId="120" fillId="0" borderId="74" applyNumberFormat="0" applyFill="0" applyAlignment="0" applyProtection="0"/>
    <xf numFmtId="178" fontId="119" fillId="0" borderId="75" applyNumberFormat="0" applyFill="0" applyAlignment="0" applyProtection="0">
      <alignment vertical="center"/>
    </xf>
    <xf numFmtId="0" fontId="120" fillId="0" borderId="74" applyNumberFormat="0" applyFill="0" applyAlignment="0" applyProtection="0"/>
    <xf numFmtId="0" fontId="121" fillId="0" borderId="76" applyNumberFormat="0" applyFill="0" applyAlignment="0" applyProtection="0"/>
    <xf numFmtId="0" fontId="122" fillId="0" borderId="77" applyNumberFormat="0" applyFill="0" applyAlignment="0" applyProtection="0">
      <alignment vertical="center"/>
    </xf>
    <xf numFmtId="178" fontId="122" fillId="0" borderId="77" applyNumberFormat="0" applyFill="0" applyAlignment="0" applyProtection="0">
      <alignment vertical="center"/>
    </xf>
    <xf numFmtId="0" fontId="123" fillId="0" borderId="77" applyNumberFormat="0" applyFill="0" applyAlignment="0" applyProtection="0">
      <alignment vertical="center"/>
    </xf>
    <xf numFmtId="178" fontId="124" fillId="0" borderId="77" applyNumberFormat="0" applyFill="0" applyAlignment="0" applyProtection="0"/>
    <xf numFmtId="178" fontId="123" fillId="0" borderId="77" applyNumberFormat="0" applyFill="0" applyAlignment="0" applyProtection="0">
      <alignment vertical="center"/>
    </xf>
    <xf numFmtId="0" fontId="124" fillId="0" borderId="77" applyNumberFormat="0" applyFill="0" applyAlignment="0" applyProtection="0"/>
    <xf numFmtId="0" fontId="125" fillId="0" borderId="78" applyNumberFormat="0" applyFill="0" applyAlignment="0" applyProtection="0"/>
    <xf numFmtId="0" fontId="61" fillId="0" borderId="79" applyNumberFormat="0" applyFill="0" applyAlignment="0" applyProtection="0">
      <alignment vertical="center"/>
    </xf>
    <xf numFmtId="178" fontId="61" fillId="0" borderId="79" applyNumberFormat="0" applyFill="0" applyAlignment="0" applyProtection="0">
      <alignment vertical="center"/>
    </xf>
    <xf numFmtId="0" fontId="126" fillId="0" borderId="80" applyNumberFormat="0" applyFill="0" applyAlignment="0" applyProtection="0">
      <alignment vertical="center"/>
    </xf>
    <xf numFmtId="178" fontId="127" fillId="0" borderId="79" applyNumberFormat="0" applyFill="0" applyAlignment="0" applyProtection="0"/>
    <xf numFmtId="178" fontId="126" fillId="0" borderId="80" applyNumberFormat="0" applyFill="0" applyAlignment="0" applyProtection="0">
      <alignment vertical="center"/>
    </xf>
    <xf numFmtId="0" fontId="127" fillId="0" borderId="79" applyNumberFormat="0" applyFill="0" applyAlignment="0" applyProtection="0"/>
    <xf numFmtId="0" fontId="125" fillId="0" borderId="0" applyNumberFormat="0" applyFill="0" applyBorder="0" applyAlignment="0" applyProtection="0"/>
    <xf numFmtId="0" fontId="126" fillId="0" borderId="0" applyNumberFormat="0" applyFill="0" applyBorder="0" applyAlignment="0" applyProtection="0">
      <alignment vertical="center"/>
    </xf>
    <xf numFmtId="178" fontId="127" fillId="0" borderId="0" applyNumberFormat="0" applyFill="0" applyBorder="0" applyAlignment="0" applyProtection="0"/>
    <xf numFmtId="178" fontId="126" fillId="0" borderId="0" applyNumberFormat="0" applyFill="0" applyBorder="0" applyAlignment="0" applyProtection="0">
      <alignment vertical="center"/>
    </xf>
    <xf numFmtId="0" fontId="127" fillId="0" borderId="0" applyNumberFormat="0" applyFill="0" applyBorder="0" applyAlignment="0" applyProtection="0"/>
    <xf numFmtId="0" fontId="128" fillId="0" borderId="0" applyProtection="0"/>
    <xf numFmtId="0" fontId="116" fillId="0" borderId="0" applyProtection="0"/>
    <xf numFmtId="0" fontId="129" fillId="0" borderId="0" applyNumberFormat="0" applyFill="0" applyBorder="0" applyAlignment="0" applyProtection="0">
      <alignment vertical="top"/>
      <protection locked="0"/>
    </xf>
    <xf numFmtId="0" fontId="130" fillId="0" borderId="0" applyNumberFormat="0" applyAlignment="0">
      <alignment horizontal="left"/>
    </xf>
    <xf numFmtId="178" fontId="130" fillId="0" borderId="0" applyNumberFormat="0" applyAlignment="0">
      <alignment horizontal="left"/>
    </xf>
    <xf numFmtId="0" fontId="131" fillId="0" borderId="0"/>
    <xf numFmtId="10" fontId="81" fillId="41" borderId="1" applyNumberFormat="0" applyBorder="0" applyAlignment="0" applyProtection="0"/>
    <xf numFmtId="10" fontId="81" fillId="44" borderId="1" applyNumberFormat="0" applyBorder="0" applyAlignment="0" applyProtection="0"/>
    <xf numFmtId="178" fontId="132" fillId="47" borderId="68" applyNumberFormat="0" applyAlignment="0" applyProtection="0">
      <alignment vertical="center"/>
    </xf>
    <xf numFmtId="0" fontId="133" fillId="47" borderId="68" applyNumberFormat="0" applyAlignment="0" applyProtection="0"/>
    <xf numFmtId="0" fontId="132" fillId="47" borderId="68" applyNumberFormat="0" applyAlignment="0" applyProtection="0">
      <alignment vertical="center"/>
    </xf>
    <xf numFmtId="178" fontId="133" fillId="47" borderId="68" applyNumberFormat="0" applyAlignment="0" applyProtection="0"/>
    <xf numFmtId="223" fontId="49" fillId="79" borderId="0"/>
    <xf numFmtId="224" fontId="49" fillId="79" borderId="0"/>
    <xf numFmtId="0" fontId="70" fillId="45" borderId="68" applyNumberFormat="0" applyAlignment="0" applyProtection="0"/>
    <xf numFmtId="0" fontId="91" fillId="43" borderId="0" applyNumberFormat="0" applyFont="0" applyBorder="0" applyAlignment="0" applyProtection="0">
      <alignment horizontal="right"/>
    </xf>
    <xf numFmtId="178" fontId="91" fillId="43" borderId="0" applyNumberFormat="0" applyFont="0" applyBorder="0" applyAlignment="0" applyProtection="0">
      <alignment horizontal="right"/>
    </xf>
    <xf numFmtId="38" fontId="134" fillId="0" borderId="0"/>
    <xf numFmtId="38" fontId="135" fillId="0" borderId="0"/>
    <xf numFmtId="38" fontId="136" fillId="0" borderId="0"/>
    <xf numFmtId="38" fontId="91" fillId="0" borderId="0"/>
    <xf numFmtId="0" fontId="110" fillId="0" borderId="0"/>
    <xf numFmtId="0" fontId="53" fillId="0" borderId="0" applyFont="0" applyFill="0">
      <alignment horizontal="fill"/>
    </xf>
    <xf numFmtId="178" fontId="53" fillId="0" borderId="0" applyFont="0" applyFill="0">
      <alignment horizontal="fill"/>
    </xf>
    <xf numFmtId="0" fontId="137" fillId="0" borderId="81" applyNumberFormat="0" applyFill="0" applyAlignment="0" applyProtection="0"/>
    <xf numFmtId="0" fontId="138" fillId="0" borderId="81" applyNumberFormat="0" applyFill="0" applyAlignment="0" applyProtection="0">
      <alignment vertical="center"/>
    </xf>
    <xf numFmtId="178" fontId="138" fillId="0" borderId="81" applyNumberFormat="0" applyFill="0" applyAlignment="0" applyProtection="0">
      <alignment vertical="center"/>
    </xf>
    <xf numFmtId="178" fontId="137" fillId="0" borderId="81" applyNumberFormat="0" applyFill="0" applyAlignment="0" applyProtection="0"/>
    <xf numFmtId="223" fontId="49" fillId="80" borderId="0"/>
    <xf numFmtId="224" fontId="49" fillId="80" borderId="0"/>
    <xf numFmtId="225" fontId="49" fillId="0" borderId="0" applyFont="0" applyFill="0" applyBorder="0" applyAlignment="0" applyProtection="0"/>
    <xf numFmtId="226" fontId="49" fillId="0" borderId="0" applyFont="0" applyFill="0" applyBorder="0" applyAlignment="0" applyProtection="0"/>
    <xf numFmtId="0" fontId="139" fillId="0" borderId="48"/>
    <xf numFmtId="227" fontId="54" fillId="0" borderId="0" applyFont="0" applyFill="0" applyBorder="0" applyAlignment="0" applyProtection="0"/>
    <xf numFmtId="228" fontId="54" fillId="0" borderId="0" applyFont="0" applyFill="0" applyBorder="0" applyAlignment="0" applyProtection="0"/>
    <xf numFmtId="229" fontId="49" fillId="0" borderId="0" applyFont="0" applyFill="0" applyBorder="0" applyAlignment="0" applyProtection="0"/>
    <xf numFmtId="203" fontId="49" fillId="0" borderId="0" applyFont="0" applyFill="0" applyBorder="0" applyAlignment="0" applyProtection="0"/>
    <xf numFmtId="230" fontId="54" fillId="0" borderId="0" applyFont="0" applyFill="0" applyBorder="0" applyAlignment="0" applyProtection="0"/>
    <xf numFmtId="231" fontId="54" fillId="0" borderId="0" applyFont="0" applyFill="0" applyBorder="0" applyAlignment="0" applyProtection="0"/>
    <xf numFmtId="0" fontId="140" fillId="58" borderId="0" applyNumberFormat="0" applyBorder="0" applyAlignment="0" applyProtection="0">
      <alignment vertical="center"/>
    </xf>
    <xf numFmtId="178" fontId="140" fillId="58" borderId="0" applyNumberFormat="0" applyBorder="0" applyAlignment="0" applyProtection="0">
      <alignment vertical="center"/>
    </xf>
    <xf numFmtId="0" fontId="141" fillId="45" borderId="0" applyNumberFormat="0" applyBorder="0" applyAlignment="0" applyProtection="0"/>
    <xf numFmtId="178" fontId="141" fillId="58" borderId="0" applyNumberFormat="0" applyBorder="0" applyAlignment="0" applyProtection="0"/>
    <xf numFmtId="0" fontId="141" fillId="58" borderId="0" applyNumberFormat="0" applyBorder="0" applyAlignment="0" applyProtection="0"/>
    <xf numFmtId="0" fontId="51" fillId="0" borderId="0"/>
    <xf numFmtId="178" fontId="51" fillId="0" borderId="0"/>
    <xf numFmtId="37" fontId="142" fillId="0" borderId="0"/>
    <xf numFmtId="0" fontId="98" fillId="0" borderId="0"/>
    <xf numFmtId="232" fontId="143" fillId="0" borderId="0"/>
    <xf numFmtId="39" fontId="49" fillId="0" borderId="0"/>
    <xf numFmtId="233" fontId="144" fillId="0" borderId="0"/>
    <xf numFmtId="0" fontId="94" fillId="0" borderId="0"/>
    <xf numFmtId="0" fontId="99" fillId="0" borderId="0"/>
    <xf numFmtId="0" fontId="145" fillId="0" borderId="0"/>
    <xf numFmtId="0" fontId="54" fillId="45" borderId="69" applyNumberFormat="0" applyFont="0" applyAlignment="0" applyProtection="0"/>
    <xf numFmtId="0" fontId="52" fillId="41" borderId="69" applyNumberFormat="0" applyFont="0" applyAlignment="0" applyProtection="0">
      <alignment vertical="center"/>
    </xf>
    <xf numFmtId="178" fontId="52" fillId="41" borderId="69" applyNumberFormat="0" applyFont="0" applyAlignment="0" applyProtection="0">
      <alignment vertical="center"/>
    </xf>
    <xf numFmtId="0" fontId="49" fillId="41" borderId="69" applyNumberFormat="0" applyFont="0" applyAlignment="0" applyProtection="0">
      <alignment vertical="center"/>
    </xf>
    <xf numFmtId="178" fontId="49" fillId="41" borderId="69" applyNumberFormat="0" applyFont="0" applyAlignment="0" applyProtection="0"/>
    <xf numFmtId="178" fontId="49" fillId="41" borderId="69" applyNumberFormat="0" applyFont="0" applyAlignment="0" applyProtection="0">
      <alignment vertical="center"/>
    </xf>
    <xf numFmtId="0" fontId="49" fillId="41" borderId="69" applyNumberFormat="0" applyFont="0" applyAlignment="0" applyProtection="0"/>
    <xf numFmtId="0" fontId="146" fillId="0" borderId="55"/>
    <xf numFmtId="178" fontId="146" fillId="0" borderId="55"/>
    <xf numFmtId="0" fontId="51" fillId="0" borderId="0">
      <alignment horizontal="center"/>
    </xf>
    <xf numFmtId="234" fontId="101" fillId="0" borderId="0"/>
    <xf numFmtId="211" fontId="54" fillId="0" borderId="0" applyFont="0" applyFill="0" applyBorder="0" applyAlignment="0" applyProtection="0"/>
    <xf numFmtId="218" fontId="54" fillId="0" borderId="0" applyFont="0" applyFill="0" applyBorder="0" applyAlignment="0" applyProtection="0"/>
    <xf numFmtId="0" fontId="147" fillId="40" borderId="82" applyNumberFormat="0" applyAlignment="0" applyProtection="0"/>
    <xf numFmtId="0" fontId="148" fillId="40" borderId="82" applyNumberFormat="0" applyAlignment="0" applyProtection="0">
      <alignment vertical="center"/>
    </xf>
    <xf numFmtId="178" fontId="148" fillId="40" borderId="82" applyNumberFormat="0" applyAlignment="0" applyProtection="0">
      <alignment vertical="center"/>
    </xf>
    <xf numFmtId="0" fontId="148" fillId="44" borderId="82" applyNumberFormat="0" applyAlignment="0" applyProtection="0">
      <alignment vertical="center"/>
    </xf>
    <xf numFmtId="178" fontId="147" fillId="40" borderId="82" applyNumberFormat="0" applyAlignment="0" applyProtection="0"/>
    <xf numFmtId="178" fontId="148" fillId="44" borderId="82" applyNumberFormat="0" applyAlignment="0" applyProtection="0">
      <alignment vertical="center"/>
    </xf>
    <xf numFmtId="14" fontId="73" fillId="0" borderId="0">
      <alignment horizontal="center" wrapText="1"/>
      <protection locked="0"/>
    </xf>
    <xf numFmtId="10" fontId="54" fillId="0" borderId="0" applyFont="0" applyFill="0" applyBorder="0" applyAlignment="0" applyProtection="0"/>
    <xf numFmtId="9" fontId="93" fillId="0" borderId="0" applyFont="0" applyFill="0" applyBorder="0" applyAlignment="0" applyProtection="0"/>
    <xf numFmtId="9" fontId="55" fillId="0" borderId="0" applyFont="0" applyFill="0" applyBorder="0" applyAlignment="0" applyProtection="0"/>
    <xf numFmtId="0" fontId="96" fillId="0" borderId="0">
      <protection locked="0"/>
    </xf>
    <xf numFmtId="178" fontId="96" fillId="0" borderId="0">
      <protection locked="0"/>
    </xf>
    <xf numFmtId="0" fontId="149" fillId="0" borderId="0">
      <protection locked="0"/>
    </xf>
    <xf numFmtId="178" fontId="149" fillId="0" borderId="0">
      <protection locked="0"/>
    </xf>
    <xf numFmtId="0" fontId="150" fillId="0" borderId="0">
      <protection locked="0"/>
    </xf>
    <xf numFmtId="178" fontId="150" fillId="0" borderId="0">
      <protection locked="0"/>
    </xf>
    <xf numFmtId="235" fontId="54" fillId="0" borderId="0" applyFont="0" applyFill="0" applyProtection="0"/>
    <xf numFmtId="0" fontId="81" fillId="40" borderId="1"/>
    <xf numFmtId="178" fontId="81" fillId="40" borderId="1"/>
    <xf numFmtId="236" fontId="143" fillId="0" borderId="0">
      <alignment horizontal="right"/>
    </xf>
    <xf numFmtId="0" fontId="49" fillId="0" borderId="0">
      <alignment horizontal="right"/>
    </xf>
    <xf numFmtId="4" fontId="104" fillId="0" borderId="0">
      <alignment horizontal="right"/>
    </xf>
    <xf numFmtId="216" fontId="151" fillId="0" borderId="0"/>
    <xf numFmtId="0" fontId="99" fillId="0" borderId="0" applyNumberFormat="0" applyFont="0" applyFill="0" applyBorder="0" applyAlignment="0" applyProtection="0">
      <alignment horizontal="left"/>
    </xf>
    <xf numFmtId="178" fontId="99" fillId="0" borderId="0" applyNumberFormat="0" applyFont="0" applyFill="0" applyBorder="0" applyAlignment="0" applyProtection="0">
      <alignment horizontal="left"/>
    </xf>
    <xf numFmtId="15" fontId="99" fillId="0" borderId="0" applyFont="0" applyFill="0" applyBorder="0" applyAlignment="0" applyProtection="0"/>
    <xf numFmtId="4" fontId="99" fillId="0" borderId="0" applyFont="0" applyFill="0" applyBorder="0" applyAlignment="0" applyProtection="0"/>
    <xf numFmtId="0" fontId="78" fillId="0" borderId="48">
      <alignment horizontal="center"/>
    </xf>
    <xf numFmtId="3" fontId="99" fillId="0" borderId="0" applyFont="0" applyFill="0" applyBorder="0" applyAlignment="0" applyProtection="0"/>
    <xf numFmtId="0" fontId="99" fillId="81" borderId="0" applyNumberFormat="0" applyFont="0" applyBorder="0" applyAlignment="0" applyProtection="0"/>
    <xf numFmtId="3" fontId="152" fillId="0" borderId="0"/>
    <xf numFmtId="4" fontId="153" fillId="0" borderId="0">
      <alignment horizontal="right"/>
    </xf>
    <xf numFmtId="237" fontId="49" fillId="0" borderId="0" applyNumberFormat="0" applyFill="0" applyBorder="0" applyAlignment="0" applyProtection="0">
      <alignment horizontal="left"/>
    </xf>
    <xf numFmtId="238" fontId="49" fillId="0" borderId="0" applyNumberFormat="0" applyFill="0" applyBorder="0" applyAlignment="0" applyProtection="0">
      <alignment horizontal="left"/>
    </xf>
    <xf numFmtId="38" fontId="101" fillId="0" borderId="0"/>
    <xf numFmtId="41" fontId="51" fillId="0" borderId="0" applyFont="0" applyFill="0" applyBorder="0" applyAlignment="0" applyProtection="0"/>
    <xf numFmtId="0" fontId="154" fillId="0" borderId="0">
      <alignment horizontal="left"/>
    </xf>
    <xf numFmtId="178" fontId="154" fillId="0" borderId="0">
      <alignment horizontal="left"/>
    </xf>
    <xf numFmtId="0" fontId="155" fillId="74" borderId="0" applyNumberFormat="0"/>
    <xf numFmtId="178" fontId="155" fillId="74" borderId="0" applyNumberFormat="0"/>
    <xf numFmtId="0" fontId="156" fillId="0" borderId="0"/>
    <xf numFmtId="178" fontId="156" fillId="0" borderId="0"/>
    <xf numFmtId="49" fontId="157" fillId="0" borderId="0">
      <alignment horizontal="center" vertical="center"/>
      <protection locked="0"/>
    </xf>
    <xf numFmtId="0" fontId="158" fillId="0" borderId="0">
      <alignment horizontal="center" vertical="center"/>
      <protection locked="0"/>
    </xf>
    <xf numFmtId="178" fontId="158" fillId="0" borderId="0">
      <alignment horizontal="center" vertical="center"/>
      <protection locked="0"/>
    </xf>
    <xf numFmtId="1" fontId="159" fillId="0" borderId="0">
      <alignment horizontal="center" vertical="center"/>
      <protection locked="0"/>
    </xf>
    <xf numFmtId="239" fontId="56" fillId="0" borderId="0">
      <alignment horizontal="center" vertical="center"/>
      <protection locked="0"/>
    </xf>
    <xf numFmtId="49" fontId="160" fillId="0" borderId="0">
      <alignment horizontal="center" vertical="center"/>
      <protection locked="0"/>
    </xf>
    <xf numFmtId="49" fontId="56" fillId="0" borderId="0">
      <alignment horizontal="center" vertical="center"/>
      <protection locked="0"/>
    </xf>
    <xf numFmtId="0" fontId="161" fillId="82" borderId="55">
      <protection locked="0"/>
    </xf>
    <xf numFmtId="0" fontId="162" fillId="83" borderId="1">
      <alignment horizontal="left" vertical="center" wrapText="1"/>
    </xf>
    <xf numFmtId="0" fontId="163" fillId="0" borderId="1">
      <alignment horizontal="center"/>
    </xf>
    <xf numFmtId="178" fontId="163" fillId="0" borderId="1">
      <alignment horizontal="center"/>
    </xf>
    <xf numFmtId="0" fontId="163" fillId="0" borderId="0">
      <alignment horizontal="center" vertical="center"/>
    </xf>
    <xf numFmtId="178" fontId="163" fillId="0" borderId="0">
      <alignment horizontal="center" vertical="center"/>
    </xf>
    <xf numFmtId="0" fontId="164" fillId="0" borderId="0" applyNumberFormat="0" applyFill="0">
      <alignment horizontal="left" vertical="center"/>
    </xf>
    <xf numFmtId="178" fontId="164" fillId="0" borderId="0" applyNumberFormat="0" applyFill="0">
      <alignment horizontal="left" vertical="center"/>
    </xf>
    <xf numFmtId="0" fontId="139" fillId="0" borderId="0"/>
    <xf numFmtId="40" fontId="130" fillId="0" borderId="0" applyBorder="0">
      <alignment horizontal="right"/>
    </xf>
    <xf numFmtId="240" fontId="54" fillId="0" borderId="0" applyBorder="0" applyAlignment="0" applyProtection="0"/>
    <xf numFmtId="0" fontId="165" fillId="0" borderId="0"/>
    <xf numFmtId="0" fontId="166" fillId="0" borderId="0" applyNumberFormat="0" applyFill="0" applyBorder="0" applyAlignment="0" applyProtection="0">
      <alignment vertical="center"/>
    </xf>
    <xf numFmtId="178" fontId="166" fillId="0" borderId="0" applyNumberFormat="0" applyFill="0" applyBorder="0" applyAlignment="0" applyProtection="0">
      <alignment vertical="center"/>
    </xf>
    <xf numFmtId="0" fontId="167" fillId="0" borderId="0" applyNumberFormat="0" applyFill="0" applyBorder="0" applyAlignment="0" applyProtection="0">
      <alignment vertical="center"/>
    </xf>
    <xf numFmtId="178" fontId="168" fillId="0" borderId="0" applyNumberFormat="0" applyFill="0" applyBorder="0" applyAlignment="0" applyProtection="0"/>
    <xf numFmtId="178" fontId="167" fillId="0" borderId="0" applyNumberFormat="0" applyFill="0" applyBorder="0" applyAlignment="0" applyProtection="0">
      <alignment vertical="center"/>
    </xf>
    <xf numFmtId="0" fontId="168" fillId="0" borderId="0" applyNumberFormat="0" applyFill="0" applyBorder="0" applyAlignment="0" applyProtection="0"/>
    <xf numFmtId="0" fontId="100" fillId="0" borderId="83">
      <protection locked="0"/>
    </xf>
    <xf numFmtId="0" fontId="57" fillId="0" borderId="84" applyNumberFormat="0" applyFill="0" applyAlignment="0" applyProtection="0">
      <alignment vertical="center"/>
    </xf>
    <xf numFmtId="178" fontId="169" fillId="0" borderId="67" applyNumberFormat="0" applyFill="0" applyAlignment="0" applyProtection="0"/>
    <xf numFmtId="178" fontId="57" fillId="0" borderId="84" applyNumberFormat="0" applyFill="0" applyAlignment="0" applyProtection="0">
      <alignment vertical="center"/>
    </xf>
    <xf numFmtId="0" fontId="108" fillId="0" borderId="83" applyProtection="0"/>
    <xf numFmtId="0" fontId="169" fillId="0" borderId="67" applyNumberFormat="0" applyFill="0" applyAlignment="0" applyProtection="0"/>
    <xf numFmtId="0" fontId="170" fillId="0" borderId="0" applyNumberFormat="0" applyFill="0" applyBorder="0" applyAlignment="0" applyProtection="0"/>
    <xf numFmtId="0" fontId="171" fillId="0" borderId="0" applyNumberFormat="0" applyFill="0" applyBorder="0" applyAlignment="0" applyProtection="0">
      <alignment vertical="center"/>
    </xf>
    <xf numFmtId="178" fontId="171" fillId="0" borderId="0" applyNumberFormat="0" applyFill="0" applyBorder="0" applyAlignment="0" applyProtection="0">
      <alignment vertical="center"/>
    </xf>
    <xf numFmtId="178" fontId="170" fillId="0" borderId="0" applyNumberFormat="0" applyFill="0" applyBorder="0" applyAlignment="0" applyProtection="0"/>
    <xf numFmtId="241" fontId="143" fillId="0" borderId="56">
      <alignment vertical="center"/>
    </xf>
    <xf numFmtId="9" fontId="172" fillId="0" borderId="0" applyFont="0" applyFill="0" applyBorder="0" applyAlignment="0" applyProtection="0"/>
    <xf numFmtId="0" fontId="173" fillId="0" borderId="0"/>
    <xf numFmtId="178" fontId="173" fillId="0" borderId="0"/>
    <xf numFmtId="0" fontId="174" fillId="0" borderId="0"/>
    <xf numFmtId="9" fontId="53" fillId="0" borderId="0" applyFont="0" applyFill="0" applyBorder="0" applyAlignment="0" applyProtection="0"/>
    <xf numFmtId="9" fontId="175" fillId="0" borderId="0" applyFont="0" applyFill="0" applyBorder="0" applyAlignment="0" applyProtection="0">
      <alignment vertical="center"/>
    </xf>
    <xf numFmtId="9" fontId="176" fillId="0" borderId="0" applyFont="0" applyFill="0" applyBorder="0" applyAlignment="0" applyProtection="0">
      <alignment vertical="center"/>
    </xf>
    <xf numFmtId="9" fontId="54" fillId="0" borderId="0" applyFont="0" applyFill="0" applyBorder="0" applyAlignment="0" applyProtection="0"/>
    <xf numFmtId="9" fontId="177" fillId="0" borderId="0" applyFont="0" applyFill="0" applyBorder="0" applyAlignment="0" applyProtection="0">
      <alignment vertical="center"/>
    </xf>
    <xf numFmtId="9" fontId="54" fillId="0" borderId="0"/>
    <xf numFmtId="9" fontId="49" fillId="0" borderId="0" applyFont="0" applyFill="0" applyBorder="0" applyAlignment="0" applyProtection="0"/>
    <xf numFmtId="9" fontId="53" fillId="0" borderId="0" applyFont="0" applyFill="0" applyBorder="0" applyAlignment="0" applyProtection="0">
      <alignment vertical="center"/>
    </xf>
    <xf numFmtId="9" fontId="52" fillId="0" borderId="0" applyFont="0" applyFill="0" applyBorder="0" applyAlignment="0" applyProtection="0">
      <alignment vertical="center"/>
    </xf>
    <xf numFmtId="9" fontId="49" fillId="0" borderId="0" applyFont="0" applyFill="0" applyBorder="0" applyAlignment="0" applyProtection="0">
      <alignment vertical="center"/>
    </xf>
    <xf numFmtId="9" fontId="178" fillId="0" borderId="0" applyFont="0" applyFill="0" applyBorder="0" applyAlignment="0" applyProtection="0">
      <alignment vertical="center"/>
    </xf>
    <xf numFmtId="9" fontId="54" fillId="0" borderId="0" applyFont="0" applyFill="0" applyBorder="0" applyAlignment="0" applyProtection="0">
      <alignment vertical="center"/>
    </xf>
    <xf numFmtId="0" fontId="179" fillId="0" borderId="0" applyFont="0" applyFill="0" applyBorder="0" applyAlignment="0" applyProtection="0"/>
    <xf numFmtId="0" fontId="54" fillId="0" borderId="56" applyNumberFormat="0" applyFill="0" applyProtection="0">
      <alignment horizontal="right"/>
    </xf>
    <xf numFmtId="0" fontId="180" fillId="0" borderId="85" applyNumberFormat="0" applyFill="0" applyAlignment="0" applyProtection="0">
      <alignment vertical="center"/>
    </xf>
    <xf numFmtId="0" fontId="181" fillId="0" borderId="0" applyNumberFormat="0" applyFill="0" applyBorder="0" applyAlignment="0" applyProtection="0">
      <alignment vertical="center"/>
    </xf>
    <xf numFmtId="0" fontId="182" fillId="0" borderId="86" applyNumberFormat="0" applyFill="0" applyAlignment="0" applyProtection="0">
      <alignment vertical="center"/>
    </xf>
    <xf numFmtId="0" fontId="183" fillId="0" borderId="87" applyNumberFormat="0" applyFill="0" applyAlignment="0" applyProtection="0">
      <alignment vertical="center"/>
    </xf>
    <xf numFmtId="0" fontId="183" fillId="0" borderId="0" applyNumberFormat="0" applyFill="0" applyBorder="0" applyAlignment="0" applyProtection="0">
      <alignment vertical="center"/>
    </xf>
    <xf numFmtId="0" fontId="184" fillId="0" borderId="0" applyNumberFormat="0" applyFill="0" applyBorder="0" applyAlignment="0" applyProtection="0">
      <alignment vertical="center"/>
    </xf>
    <xf numFmtId="0" fontId="185" fillId="0" borderId="56" applyNumberFormat="0" applyFill="0" applyProtection="0">
      <alignment horizontal="center"/>
    </xf>
    <xf numFmtId="4" fontId="186" fillId="0" borderId="0">
      <alignment horizontal="right"/>
    </xf>
    <xf numFmtId="0" fontId="187" fillId="0" borderId="43" applyNumberFormat="0" applyFill="0" applyProtection="0">
      <alignment horizontal="center"/>
    </xf>
    <xf numFmtId="0" fontId="188" fillId="84" borderId="0" applyNumberFormat="0" applyBorder="0" applyAlignment="0" applyProtection="0">
      <alignment vertical="center"/>
    </xf>
    <xf numFmtId="0" fontId="189" fillId="46" borderId="0" applyNumberFormat="0" applyBorder="0" applyAlignment="0" applyProtection="0"/>
    <xf numFmtId="178" fontId="189" fillId="46" borderId="0" applyNumberFormat="0" applyBorder="0" applyAlignment="0" applyProtection="0"/>
    <xf numFmtId="0" fontId="190" fillId="46" borderId="0" applyNumberFormat="0" applyBorder="0" applyAlignment="0" applyProtection="0">
      <alignment vertical="center"/>
    </xf>
    <xf numFmtId="0" fontId="191" fillId="13" borderId="0" applyNumberFormat="0" applyBorder="0" applyAlignment="0" applyProtection="0">
      <alignment vertical="center"/>
    </xf>
    <xf numFmtId="0" fontId="192" fillId="13" borderId="0" applyNumberFormat="0" applyBorder="0" applyAlignment="0" applyProtection="0">
      <alignment vertical="center"/>
    </xf>
    <xf numFmtId="0" fontId="193" fillId="46" borderId="0" applyNumberFormat="0" applyBorder="0" applyAlignment="0" applyProtection="0">
      <alignment vertical="center"/>
    </xf>
    <xf numFmtId="178" fontId="193" fillId="46" borderId="0" applyNumberFormat="0" applyBorder="0" applyAlignment="0" applyProtection="0">
      <alignment vertical="center"/>
    </xf>
    <xf numFmtId="0" fontId="52" fillId="0" borderId="0">
      <alignment vertical="center"/>
    </xf>
    <xf numFmtId="178" fontId="52" fillId="0" borderId="0">
      <alignment vertical="center"/>
    </xf>
    <xf numFmtId="0" fontId="53" fillId="0" borderId="0" applyNumberFormat="0" applyFill="0" applyBorder="0" applyAlignment="0" applyProtection="0"/>
    <xf numFmtId="0" fontId="56" fillId="0" borderId="0"/>
    <xf numFmtId="0" fontId="176" fillId="0" borderId="0">
      <alignment vertical="center"/>
    </xf>
    <xf numFmtId="0" fontId="178" fillId="0" borderId="0"/>
    <xf numFmtId="0" fontId="96" fillId="0" borderId="0"/>
    <xf numFmtId="242" fontId="0" fillId="0" borderId="0">
      <alignment vertical="center"/>
    </xf>
    <xf numFmtId="0" fontId="177" fillId="0" borderId="0"/>
    <xf numFmtId="0" fontId="49" fillId="0" borderId="0" applyProtection="0">
      <alignment vertical="center"/>
    </xf>
    <xf numFmtId="243" fontId="0" fillId="0" borderId="0">
      <alignment vertical="center"/>
    </xf>
    <xf numFmtId="184" fontId="0" fillId="0" borderId="0">
      <alignment vertical="center"/>
    </xf>
    <xf numFmtId="0" fontId="0" fillId="0" borderId="0">
      <alignment vertical="center"/>
    </xf>
    <xf numFmtId="0" fontId="175" fillId="0" borderId="0">
      <alignment vertical="center"/>
    </xf>
    <xf numFmtId="0" fontId="53" fillId="0" borderId="0" applyProtection="0">
      <alignment vertical="center"/>
    </xf>
    <xf numFmtId="0" fontId="54" fillId="0" borderId="0">
      <alignment vertical="center"/>
    </xf>
    <xf numFmtId="0" fontId="0" fillId="0" borderId="0">
      <alignment vertical="center"/>
    </xf>
    <xf numFmtId="0" fontId="54" fillId="0" borderId="0" applyNumberFormat="0" applyFont="0" applyFill="0" applyBorder="0" applyAlignment="0" applyProtection="0"/>
    <xf numFmtId="0" fontId="49" fillId="0" borderId="0">
      <alignment vertical="top"/>
    </xf>
    <xf numFmtId="178" fontId="49" fillId="0" borderId="0">
      <alignment vertical="center"/>
    </xf>
    <xf numFmtId="0" fontId="143" fillId="0" borderId="0"/>
    <xf numFmtId="0" fontId="194" fillId="0" borderId="0">
      <alignment vertical="center"/>
    </xf>
    <xf numFmtId="0" fontId="195" fillId="0" borderId="0">
      <alignment vertical="center"/>
    </xf>
    <xf numFmtId="178" fontId="0" fillId="0" borderId="0">
      <alignment vertical="center"/>
    </xf>
    <xf numFmtId="244" fontId="0" fillId="0" borderId="0">
      <alignment vertical="center"/>
    </xf>
    <xf numFmtId="218" fontId="0" fillId="0" borderId="0">
      <alignment vertical="center"/>
    </xf>
    <xf numFmtId="245" fontId="0" fillId="0" borderId="0">
      <alignment vertical="center"/>
    </xf>
    <xf numFmtId="0" fontId="94" fillId="0" borderId="0">
      <alignment vertical="center"/>
    </xf>
    <xf numFmtId="0" fontId="196" fillId="0" borderId="0">
      <alignment vertical="center"/>
    </xf>
    <xf numFmtId="0" fontId="194" fillId="0" borderId="0"/>
    <xf numFmtId="218" fontId="49" fillId="0" borderId="0"/>
    <xf numFmtId="0" fontId="49" fillId="0" borderId="0" applyProtection="0"/>
    <xf numFmtId="184" fontId="49" fillId="0" borderId="0"/>
    <xf numFmtId="245" fontId="49" fillId="0" borderId="0"/>
    <xf numFmtId="246" fontId="49" fillId="0" borderId="0"/>
    <xf numFmtId="247" fontId="49" fillId="0" borderId="0"/>
    <xf numFmtId="0" fontId="49" fillId="0" borderId="0">
      <alignment vertical="center"/>
    </xf>
    <xf numFmtId="243" fontId="49" fillId="0" borderId="0"/>
    <xf numFmtId="0" fontId="93" fillId="0" borderId="0"/>
    <xf numFmtId="0" fontId="197" fillId="0" borderId="0">
      <alignment vertical="center"/>
    </xf>
    <xf numFmtId="0" fontId="198" fillId="0" borderId="0" applyNumberFormat="0" applyFill="0" applyBorder="0" applyAlignment="0" applyProtection="0">
      <alignment vertical="top"/>
      <protection locked="0"/>
    </xf>
    <xf numFmtId="0" fontId="199" fillId="0" borderId="0" applyNumberFormat="0" applyFill="0" applyBorder="0" applyAlignment="0" applyProtection="0"/>
    <xf numFmtId="178" fontId="200" fillId="0" borderId="0" applyNumberFormat="0" applyFill="0" applyBorder="0" applyAlignment="0" applyProtection="0">
      <alignment vertical="top"/>
      <protection locked="0"/>
    </xf>
    <xf numFmtId="0" fontId="201" fillId="0" borderId="0" applyNumberFormat="0" applyFill="0" applyBorder="0" applyAlignment="0" applyProtection="0">
      <alignment vertical="top"/>
      <protection locked="0"/>
    </xf>
    <xf numFmtId="0" fontId="200" fillId="0" borderId="0" applyNumberFormat="0" applyFill="0" applyBorder="0" applyAlignment="0" applyProtection="0">
      <alignment vertical="top"/>
      <protection locked="0"/>
    </xf>
    <xf numFmtId="0" fontId="202" fillId="0" borderId="0" applyNumberFormat="0" applyFill="0" applyBorder="0" applyAlignment="0" applyProtection="0">
      <alignment vertical="top"/>
      <protection locked="0"/>
    </xf>
    <xf numFmtId="184" fontId="198" fillId="0" borderId="0" applyNumberFormat="0" applyFill="0" applyBorder="0" applyAlignment="0" applyProtection="0">
      <alignment vertical="top"/>
      <protection locked="0"/>
    </xf>
    <xf numFmtId="0" fontId="203" fillId="0" borderId="0" applyNumberFormat="0" applyFill="0" applyBorder="0" applyAlignment="0" applyProtection="0"/>
    <xf numFmtId="0" fontId="204" fillId="0" borderId="0" applyNumberFormat="0" applyFill="0" applyBorder="0" applyAlignment="0" applyProtection="0">
      <alignment horizontal="center" vertical="center" wrapText="1"/>
    </xf>
    <xf numFmtId="0" fontId="78" fillId="0" borderId="0" applyNumberFormat="0" applyFill="0" applyBorder="0" applyAlignment="0" applyProtection="0"/>
    <xf numFmtId="0" fontId="96" fillId="0" borderId="0" applyFill="0" applyBorder="0" applyAlignment="0"/>
    <xf numFmtId="178" fontId="96" fillId="0" borderId="0" applyFill="0" applyBorder="0" applyAlignment="0"/>
    <xf numFmtId="0" fontId="205" fillId="0" borderId="0">
      <alignment horizontal="center"/>
    </xf>
    <xf numFmtId="178" fontId="205" fillId="0" borderId="0">
      <alignment horizontal="center"/>
    </xf>
    <xf numFmtId="0" fontId="206" fillId="85" borderId="0" applyNumberFormat="0" applyBorder="0" applyAlignment="0" applyProtection="0">
      <alignment vertical="center"/>
    </xf>
    <xf numFmtId="0" fontId="207" fillId="48" borderId="0" applyNumberFormat="0" applyBorder="0" applyAlignment="0" applyProtection="0"/>
    <xf numFmtId="178" fontId="207" fillId="48" borderId="0" applyNumberFormat="0" applyBorder="0" applyAlignment="0" applyProtection="0"/>
    <xf numFmtId="0" fontId="208" fillId="48" borderId="0" applyNumberFormat="0" applyBorder="0" applyAlignment="0" applyProtection="0">
      <alignment vertical="center"/>
    </xf>
    <xf numFmtId="178" fontId="208" fillId="48" borderId="0" applyNumberFormat="0" applyBorder="0" applyAlignment="0" applyProtection="0">
      <alignment vertical="center"/>
    </xf>
    <xf numFmtId="0" fontId="209" fillId="48" borderId="0" applyNumberFormat="0" applyBorder="0" applyAlignment="0" applyProtection="0">
      <alignment vertical="center"/>
    </xf>
    <xf numFmtId="0" fontId="210" fillId="12" borderId="0" applyNumberFormat="0" applyBorder="0" applyAlignment="0" applyProtection="0">
      <alignment vertical="center"/>
    </xf>
    <xf numFmtId="0" fontId="211" fillId="12" borderId="0" applyNumberFormat="0" applyBorder="0" applyAlignment="0" applyProtection="0">
      <alignment vertical="center"/>
    </xf>
    <xf numFmtId="0" fontId="212" fillId="48" borderId="0" applyNumberFormat="0" applyBorder="0" applyAlignment="0" applyProtection="0">
      <alignment vertical="center"/>
    </xf>
    <xf numFmtId="178" fontId="212" fillId="48" borderId="0" applyNumberFormat="0" applyBorder="0" applyAlignment="0" applyProtection="0">
      <alignment vertical="center"/>
    </xf>
    <xf numFmtId="4" fontId="213" fillId="0" borderId="0" applyFont="0" applyFill="0" applyBorder="0" applyAlignment="0" applyProtection="0"/>
    <xf numFmtId="0" fontId="214" fillId="0" borderId="0" applyNumberFormat="0" applyFill="0" applyBorder="0" applyAlignment="0" applyProtection="0">
      <alignment vertical="top"/>
      <protection locked="0"/>
    </xf>
    <xf numFmtId="0" fontId="215" fillId="0" borderId="0" applyNumberFormat="0" applyFill="0" applyBorder="0" applyAlignment="0" applyProtection="0">
      <alignment vertical="top"/>
      <protection locked="0"/>
    </xf>
    <xf numFmtId="178" fontId="215" fillId="0" borderId="0" applyNumberFormat="0" applyFill="0" applyBorder="0" applyAlignment="0" applyProtection="0">
      <alignment vertical="top"/>
      <protection locked="0"/>
    </xf>
    <xf numFmtId="0" fontId="216" fillId="0" borderId="88" applyNumberFormat="0" applyFill="0" applyAlignment="0" applyProtection="0">
      <alignment vertical="center"/>
    </xf>
    <xf numFmtId="248" fontId="0" fillId="0" borderId="0" applyFont="0" applyFill="0" applyBorder="0" applyAlignment="0" applyProtection="0">
      <alignment vertical="center"/>
    </xf>
    <xf numFmtId="248" fontId="52" fillId="0" borderId="0" applyFont="0" applyFill="0" applyBorder="0" applyAlignment="0" applyProtection="0">
      <alignment vertical="center"/>
    </xf>
    <xf numFmtId="248" fontId="49" fillId="0" borderId="0" applyFont="0" applyFill="0" applyBorder="0" applyAlignment="0" applyProtection="0">
      <alignment vertical="center"/>
    </xf>
    <xf numFmtId="0" fontId="217" fillId="86" borderId="89" applyNumberFormat="0" applyAlignment="0" applyProtection="0">
      <alignment vertical="center"/>
    </xf>
    <xf numFmtId="0" fontId="218" fillId="87" borderId="90" applyNumberFormat="0" applyAlignment="0" applyProtection="0">
      <alignment vertical="center"/>
    </xf>
    <xf numFmtId="0" fontId="219" fillId="0" borderId="0" applyNumberFormat="0" applyFill="0" applyBorder="0" applyAlignment="0" applyProtection="0">
      <alignment vertical="center"/>
    </xf>
    <xf numFmtId="0" fontId="187" fillId="0" borderId="43" applyNumberFormat="0" applyFill="0" applyProtection="0">
      <alignment horizontal="left"/>
    </xf>
    <xf numFmtId="0" fontId="220" fillId="0" borderId="0" applyNumberFormat="0" applyFill="0" applyBorder="0" applyAlignment="0" applyProtection="0">
      <alignment vertical="center"/>
    </xf>
    <xf numFmtId="0" fontId="221" fillId="0" borderId="91" applyNumberFormat="0" applyFill="0" applyAlignment="0" applyProtection="0">
      <alignment vertical="center"/>
    </xf>
    <xf numFmtId="249" fontId="54" fillId="0" borderId="0" applyFont="0" applyFill="0" applyBorder="0" applyAlignment="0" applyProtection="0"/>
    <xf numFmtId="250" fontId="53" fillId="0" borderId="0" applyFont="0" applyFill="0" applyBorder="0" applyAlignment="0" applyProtection="0"/>
    <xf numFmtId="251" fontId="222" fillId="0" borderId="0" applyFont="0" applyFill="0" applyBorder="0" applyAlignment="0" applyProtection="0"/>
    <xf numFmtId="252" fontId="222" fillId="0" borderId="0" applyFont="0" applyFill="0" applyBorder="0" applyAlignment="0" applyProtection="0"/>
    <xf numFmtId="43" fontId="51" fillId="0" borderId="0" applyFont="0" applyFill="0" applyBorder="0" applyAlignment="0" applyProtection="0"/>
    <xf numFmtId="43" fontId="53" fillId="0" borderId="0" applyFont="0" applyFill="0" applyBorder="0" applyAlignment="0" applyProtection="0"/>
    <xf numFmtId="43" fontId="175" fillId="0" borderId="0" applyFont="0" applyFill="0" applyBorder="0" applyAlignment="0" applyProtection="0">
      <alignment vertical="center"/>
    </xf>
    <xf numFmtId="43" fontId="177" fillId="0" borderId="0" applyFont="0" applyFill="0" applyBorder="0" applyAlignment="0" applyProtection="0">
      <alignment vertical="center"/>
    </xf>
    <xf numFmtId="43" fontId="204" fillId="0" borderId="0" applyFont="0" applyFill="0" applyBorder="0" applyAlignment="0" applyProtection="0"/>
    <xf numFmtId="43" fontId="54" fillId="0" borderId="0" applyFont="0" applyFill="0" applyBorder="0" applyAlignment="0" applyProtection="0">
      <alignment vertical="center"/>
    </xf>
    <xf numFmtId="43" fontId="49" fillId="0" borderId="0" applyFont="0" applyFill="0" applyBorder="0" applyAlignment="0" applyProtection="0">
      <alignment vertical="center"/>
    </xf>
    <xf numFmtId="43" fontId="176" fillId="0" borderId="0" applyFont="0" applyFill="0" applyBorder="0" applyAlignment="0" applyProtection="0">
      <alignment vertical="center"/>
    </xf>
    <xf numFmtId="43" fontId="63" fillId="0" borderId="0" applyFont="0" applyFill="0" applyBorder="0" applyAlignment="0" applyProtection="0"/>
    <xf numFmtId="43" fontId="54" fillId="0" borderId="0"/>
    <xf numFmtId="43" fontId="52" fillId="0" borderId="0" applyFont="0" applyFill="0" applyBorder="0" applyAlignment="0" applyProtection="0">
      <alignment vertical="center"/>
    </xf>
    <xf numFmtId="43" fontId="49" fillId="0" borderId="0" applyFont="0" applyFill="0" applyBorder="0" applyAlignment="0" applyProtection="0"/>
    <xf numFmtId="253" fontId="66" fillId="0" borderId="0" applyFont="0" applyFill="0" applyBorder="0" applyAlignment="0" applyProtection="0">
      <alignment vertical="center"/>
    </xf>
    <xf numFmtId="218" fontId="49" fillId="0" borderId="0" applyFont="0" applyFill="0" applyBorder="0" applyAlignment="0" applyProtection="0"/>
    <xf numFmtId="177" fontId="54" fillId="0" borderId="0" applyFont="0" applyFill="0" applyBorder="0" applyAlignment="0" applyProtection="0"/>
    <xf numFmtId="246" fontId="53" fillId="0" borderId="0" applyProtection="0">
      <alignment vertical="center"/>
    </xf>
    <xf numFmtId="211" fontId="49" fillId="0" borderId="0" applyFont="0" applyFill="0" applyBorder="0" applyAlignment="0" applyProtection="0">
      <alignment vertical="center"/>
    </xf>
    <xf numFmtId="43" fontId="196" fillId="0" borderId="0" applyFont="0" applyFill="0" applyBorder="0" applyAlignment="0" applyProtection="0">
      <alignment vertical="center"/>
    </xf>
    <xf numFmtId="218" fontId="0" fillId="0" borderId="0" applyFont="0" applyFill="0" applyBorder="0" applyAlignment="0" applyProtection="0">
      <alignment vertical="center"/>
    </xf>
    <xf numFmtId="218" fontId="54" fillId="0" borderId="0" applyFont="0" applyFill="0" applyBorder="0" applyAlignment="0" applyProtection="0">
      <alignment vertical="center"/>
    </xf>
    <xf numFmtId="218" fontId="53" fillId="0" borderId="0" applyFont="0" applyFill="0" applyBorder="0" applyAlignment="0" applyProtection="0">
      <alignment vertical="center"/>
    </xf>
    <xf numFmtId="218" fontId="177" fillId="0" borderId="0" applyFont="0" applyFill="0" applyBorder="0" applyAlignment="0" applyProtection="0">
      <alignment vertical="center"/>
    </xf>
    <xf numFmtId="41" fontId="204" fillId="0" borderId="0" applyFont="0" applyFill="0" applyBorder="0" applyAlignment="0" applyProtection="0"/>
    <xf numFmtId="0" fontId="223" fillId="0" borderId="0"/>
    <xf numFmtId="254" fontId="54" fillId="0" borderId="43" applyFill="0" applyProtection="0">
      <alignment horizontal="right"/>
    </xf>
    <xf numFmtId="0" fontId="54" fillId="0" borderId="56" applyNumberFormat="0" applyFill="0" applyProtection="0">
      <alignment horizontal="left"/>
    </xf>
    <xf numFmtId="0" fontId="224" fillId="88" borderId="0" applyNumberFormat="0" applyBorder="0" applyAlignment="0" applyProtection="0">
      <alignment vertical="center"/>
    </xf>
    <xf numFmtId="0" fontId="225" fillId="14" borderId="0" applyNumberFormat="0" applyBorder="0" applyAlignment="0" applyProtection="0">
      <alignment vertical="center"/>
    </xf>
    <xf numFmtId="0" fontId="226" fillId="86" borderId="92" applyNumberFormat="0" applyAlignment="0" applyProtection="0">
      <alignment vertical="center"/>
    </xf>
    <xf numFmtId="0" fontId="227" fillId="9" borderId="89" applyNumberFormat="0" applyAlignment="0" applyProtection="0">
      <alignment vertical="center"/>
    </xf>
    <xf numFmtId="1" fontId="54" fillId="0" borderId="43" applyFill="0" applyProtection="0">
      <alignment horizontal="center"/>
    </xf>
    <xf numFmtId="255" fontId="54" fillId="0" borderId="0" applyFont="0" applyFill="0" applyBorder="0" applyAlignment="0" applyProtection="0"/>
    <xf numFmtId="256" fontId="213" fillId="0" borderId="0" applyFont="0" applyFill="0" applyBorder="0" applyAlignment="0" applyProtection="0"/>
    <xf numFmtId="0" fontId="228" fillId="0" borderId="1" applyNumberFormat="0">
      <alignment vertical="center"/>
    </xf>
    <xf numFmtId="178" fontId="228" fillId="0" borderId="1" applyNumberFormat="0">
      <alignment vertical="center"/>
    </xf>
    <xf numFmtId="0" fontId="229" fillId="0" borderId="0" applyNumberFormat="0" applyFill="0" applyBorder="0" applyAlignment="0" applyProtection="0"/>
    <xf numFmtId="0" fontId="230" fillId="0" borderId="0"/>
    <xf numFmtId="40" fontId="179" fillId="0" borderId="0" applyFont="0" applyFill="0" applyBorder="0" applyAlignment="0" applyProtection="0"/>
    <xf numFmtId="38" fontId="179" fillId="0" borderId="0" applyFont="0" applyFill="0" applyBorder="0" applyAlignment="0" applyProtection="0"/>
    <xf numFmtId="0" fontId="63" fillId="8" borderId="93" applyNumberFormat="0" applyFont="0" applyAlignment="0" applyProtection="0">
      <alignment vertical="center"/>
    </xf>
    <xf numFmtId="211" fontId="54" fillId="0" borderId="1" applyNumberFormat="0"/>
    <xf numFmtId="38" fontId="47" fillId="0" borderId="0" applyFont="0" applyFill="0" applyBorder="0" applyAlignment="0" applyProtection="0"/>
    <xf numFmtId="40" fontId="47" fillId="0" borderId="0" applyFont="0" applyFill="0" applyBorder="0" applyAlignment="0" applyProtection="0"/>
    <xf numFmtId="0" fontId="231" fillId="0" borderId="0"/>
  </cellStyleXfs>
  <cellXfs count="193">
    <xf numFmtId="0" fontId="0" fillId="0" borderId="0" xfId="0"/>
    <xf numFmtId="0" fontId="1" fillId="0" borderId="0" xfId="0" applyFont="1" applyAlignment="1">
      <alignment vertical="top"/>
    </xf>
    <xf numFmtId="0" fontId="2" fillId="2" borderId="1" xfId="577" applyFont="1" applyFill="1" applyBorder="1" applyAlignment="1" applyProtection="1">
      <alignment vertical="top" wrapText="1"/>
      <protection hidden="1"/>
    </xf>
    <xf numFmtId="0" fontId="2" fillId="0" borderId="1" xfId="577" applyFont="1" applyBorder="1" applyAlignment="1">
      <alignment vertical="top" wrapText="1"/>
    </xf>
    <xf numFmtId="0" fontId="2" fillId="3" borderId="1" xfId="577" applyFont="1" applyFill="1" applyBorder="1" applyAlignment="1">
      <alignment vertical="top" wrapText="1"/>
    </xf>
    <xf numFmtId="0" fontId="1" fillId="0" borderId="1" xfId="0" applyFont="1" applyBorder="1" applyAlignment="1">
      <alignment vertical="top"/>
    </xf>
    <xf numFmtId="0" fontId="2" fillId="3" borderId="0" xfId="577" applyFont="1" applyFill="1" applyAlignment="1">
      <alignment vertical="top" wrapText="1"/>
    </xf>
    <xf numFmtId="0" fontId="3" fillId="0" borderId="1" xfId="112" applyFont="1" applyBorder="1" applyAlignment="1">
      <alignment vertical="top" wrapText="1"/>
    </xf>
    <xf numFmtId="0" fontId="2" fillId="0" borderId="1" xfId="112" applyFont="1" applyBorder="1" applyAlignment="1">
      <alignment vertical="top" wrapText="1"/>
    </xf>
    <xf numFmtId="0" fontId="2" fillId="3" borderId="1" xfId="112" applyFont="1" applyFill="1" applyBorder="1" applyAlignment="1">
      <alignment vertical="top" wrapText="1"/>
    </xf>
    <xf numFmtId="0" fontId="0" fillId="0" borderId="0" xfId="0" applyAlignment="1">
      <alignment horizontal="center" wrapText="1"/>
    </xf>
    <xf numFmtId="0" fontId="0" fillId="0" borderId="0" xfId="0" applyAlignment="1">
      <alignment wrapText="1"/>
    </xf>
    <xf numFmtId="49" fontId="4" fillId="4" borderId="1" xfId="577" applyNumberFormat="1" applyFont="1" applyFill="1" applyBorder="1" applyAlignment="1">
      <alignment horizontal="center" vertical="center" wrapText="1"/>
    </xf>
    <xf numFmtId="0" fontId="4" fillId="4" borderId="1" xfId="577" applyFont="1" applyFill="1" applyBorder="1" applyAlignment="1">
      <alignment horizontal="center" vertical="center" wrapText="1"/>
    </xf>
    <xf numFmtId="0" fontId="4" fillId="5" borderId="1" xfId="577" applyFont="1" applyFill="1" applyBorder="1" applyAlignment="1">
      <alignment horizontal="center" vertical="center" wrapText="1"/>
    </xf>
    <xf numFmtId="49" fontId="2" fillId="3" borderId="1" xfId="577" applyNumberFormat="1" applyFont="1" applyFill="1" applyBorder="1" applyAlignment="1">
      <alignment horizontal="left" vertical="center" wrapText="1"/>
    </xf>
    <xf numFmtId="0" fontId="2" fillId="3" borderId="1" xfId="577" applyFont="1" applyFill="1" applyBorder="1" applyAlignment="1">
      <alignment horizontal="left" vertical="center" wrapText="1"/>
    </xf>
    <xf numFmtId="0" fontId="2" fillId="3" borderId="1" xfId="577" applyFont="1" applyFill="1" applyBorder="1" applyAlignment="1">
      <alignment horizontal="center" vertical="center" wrapText="1"/>
    </xf>
    <xf numFmtId="0" fontId="2" fillId="0" borderId="1" xfId="577" applyFont="1" applyBorder="1" applyAlignment="1">
      <alignment horizontal="center" vertical="center" wrapText="1"/>
    </xf>
    <xf numFmtId="0" fontId="2" fillId="0" borderId="1" xfId="577" applyFont="1" applyBorder="1" applyAlignment="1">
      <alignment horizontal="left" vertical="center" wrapText="1"/>
    </xf>
    <xf numFmtId="0" fontId="5" fillId="3" borderId="1" xfId="597" applyFont="1" applyFill="1" applyBorder="1" applyAlignment="1">
      <alignment horizontal="left" vertical="center" wrapText="1"/>
    </xf>
    <xf numFmtId="49" fontId="2" fillId="3" borderId="1" xfId="0" applyNumberFormat="1" applyFont="1" applyFill="1" applyBorder="1" applyAlignment="1">
      <alignment horizontal="left" vertical="center" wrapText="1"/>
    </xf>
    <xf numFmtId="0" fontId="1" fillId="0" borderId="0" xfId="0" applyFont="1" applyAlignment="1">
      <alignment vertical="center" wrapText="1"/>
    </xf>
    <xf numFmtId="0" fontId="4" fillId="0" borderId="1" xfId="112" applyFont="1" applyBorder="1" applyAlignment="1">
      <alignment horizontal="center" vertical="center" wrapText="1"/>
    </xf>
    <xf numFmtId="0" fontId="3" fillId="0" borderId="1" xfId="112" applyFont="1" applyBorder="1" applyAlignment="1">
      <alignment horizontal="center" vertical="center" wrapText="1"/>
    </xf>
    <xf numFmtId="0" fontId="2" fillId="0" borderId="1" xfId="112" applyFont="1" applyBorder="1" applyAlignment="1">
      <alignment wrapText="1"/>
    </xf>
    <xf numFmtId="0" fontId="2" fillId="0" borderId="1" xfId="112" applyFont="1" applyBorder="1" applyAlignment="1">
      <alignment horizontal="center" vertical="top" wrapText="1"/>
    </xf>
    <xf numFmtId="0" fontId="2" fillId="0" borderId="1" xfId="112" applyFont="1" applyBorder="1" applyAlignment="1">
      <alignment horizontal="left" vertical="center" wrapText="1"/>
    </xf>
    <xf numFmtId="0" fontId="2" fillId="3" borderId="1" xfId="112" applyFont="1" applyFill="1" applyBorder="1" applyAlignment="1">
      <alignment wrapText="1"/>
    </xf>
    <xf numFmtId="0" fontId="2" fillId="3" borderId="1" xfId="112" applyFont="1" applyFill="1" applyBorder="1" applyAlignment="1">
      <alignment horizontal="center" vertical="top" wrapText="1"/>
    </xf>
    <xf numFmtId="0" fontId="6" fillId="0" borderId="0" xfId="0" applyFont="1" applyAlignment="1">
      <alignment horizontal="left" vertical="top"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8" fillId="0" borderId="0" xfId="0" applyFont="1" applyAlignment="1">
      <alignment horizontal="left" vertical="center" wrapText="1"/>
    </xf>
    <xf numFmtId="0" fontId="10" fillId="0" borderId="0" xfId="573" applyFont="1" applyAlignment="1" applyProtection="1">
      <alignment horizontal="right" vertical="center" wrapText="1"/>
      <protection locked="0"/>
    </xf>
    <xf numFmtId="0" fontId="10" fillId="0" borderId="0" xfId="573" applyFont="1" applyAlignment="1" applyProtection="1">
      <alignment horizontal="left" vertical="center" wrapText="1"/>
      <protection locked="0"/>
    </xf>
    <xf numFmtId="22" fontId="8" fillId="0" borderId="0" xfId="0" applyNumberFormat="1" applyFont="1" applyAlignment="1">
      <alignment horizontal="left" vertical="center" wrapText="1"/>
    </xf>
    <xf numFmtId="0" fontId="11" fillId="0" borderId="2" xfId="573" applyFont="1" applyBorder="1" applyAlignment="1" applyProtection="1">
      <alignment horizontal="center" vertical="center" wrapText="1"/>
      <protection locked="0"/>
    </xf>
    <xf numFmtId="0" fontId="11" fillId="0" borderId="3" xfId="573" applyFont="1" applyBorder="1" applyAlignment="1" applyProtection="1">
      <alignment horizontal="center" vertical="center" wrapText="1"/>
      <protection locked="0"/>
    </xf>
    <xf numFmtId="0" fontId="11" fillId="0" borderId="4" xfId="573" applyFont="1" applyBorder="1" applyAlignment="1" applyProtection="1">
      <alignment horizontal="center" vertical="center" wrapText="1"/>
      <protection locked="0"/>
    </xf>
    <xf numFmtId="0" fontId="11" fillId="0" borderId="5" xfId="573" applyFont="1" applyBorder="1" applyAlignment="1" applyProtection="1">
      <alignment horizontal="center" vertical="center" wrapText="1"/>
      <protection locked="0"/>
    </xf>
    <xf numFmtId="0" fontId="11" fillId="0" borderId="1" xfId="573" applyFont="1" applyBorder="1" applyAlignment="1" applyProtection="1">
      <alignment horizontal="center" vertical="center" wrapText="1"/>
      <protection locked="0"/>
    </xf>
    <xf numFmtId="0" fontId="12" fillId="0" borderId="1" xfId="573" applyFont="1" applyBorder="1" applyAlignment="1" applyProtection="1">
      <alignment horizontal="center" vertical="center" wrapText="1"/>
      <protection locked="0"/>
    </xf>
    <xf numFmtId="0" fontId="12" fillId="0" borderId="6" xfId="573" applyFont="1" applyBorder="1" applyAlignment="1" applyProtection="1">
      <alignment horizontal="center" vertical="center" wrapText="1"/>
      <protection locked="0"/>
    </xf>
    <xf numFmtId="0" fontId="11" fillId="0" borderId="6" xfId="573" applyFont="1" applyBorder="1" applyAlignment="1" applyProtection="1">
      <alignment horizontal="center" vertical="center" wrapText="1"/>
      <protection locked="0"/>
    </xf>
    <xf numFmtId="0" fontId="12" fillId="0" borderId="7" xfId="573" applyFont="1" applyBorder="1" applyAlignment="1" applyProtection="1">
      <alignment horizontal="center" vertical="center" wrapText="1"/>
      <protection locked="0"/>
    </xf>
    <xf numFmtId="0" fontId="12" fillId="0" borderId="8" xfId="573" applyFont="1" applyBorder="1" applyAlignment="1" applyProtection="1">
      <alignment horizontal="center" vertical="center" wrapText="1"/>
      <protection locked="0"/>
    </xf>
    <xf numFmtId="0" fontId="12" fillId="0" borderId="9" xfId="573" applyFont="1" applyBorder="1" applyAlignment="1" applyProtection="1">
      <alignment horizontal="center" vertical="center" wrapText="1"/>
      <protection locked="0"/>
    </xf>
    <xf numFmtId="0" fontId="12" fillId="0" borderId="10" xfId="573" applyFont="1" applyBorder="1" applyAlignment="1" applyProtection="1">
      <alignment vertical="center" wrapText="1"/>
      <protection locked="0"/>
    </xf>
    <xf numFmtId="0" fontId="12" fillId="0" borderId="11" xfId="573" applyFont="1" applyBorder="1" applyAlignment="1" applyProtection="1">
      <alignment vertical="center" wrapText="1"/>
      <protection locked="0"/>
    </xf>
    <xf numFmtId="0" fontId="12" fillId="0" borderId="12" xfId="573" applyFont="1" applyBorder="1" applyAlignment="1" applyProtection="1">
      <alignment vertical="center" wrapText="1"/>
      <protection locked="0"/>
    </xf>
    <xf numFmtId="0" fontId="12" fillId="0" borderId="10" xfId="573" applyFont="1" applyBorder="1" applyAlignment="1" applyProtection="1">
      <alignment horizontal="left" vertical="center" wrapText="1"/>
      <protection locked="0"/>
    </xf>
    <xf numFmtId="0" fontId="12" fillId="0" borderId="11" xfId="573" applyFont="1" applyBorder="1" applyAlignment="1" applyProtection="1">
      <alignment horizontal="left" vertical="center" wrapText="1"/>
      <protection locked="0"/>
    </xf>
    <xf numFmtId="0" fontId="12" fillId="0" borderId="12" xfId="573" applyFont="1" applyBorder="1" applyAlignment="1" applyProtection="1">
      <alignment horizontal="left" vertical="center" wrapText="1"/>
      <protection locked="0"/>
    </xf>
    <xf numFmtId="0" fontId="12" fillId="0" borderId="13" xfId="573" applyFont="1" applyBorder="1" applyAlignment="1" applyProtection="1">
      <alignment horizontal="left" vertical="center" wrapText="1"/>
      <protection locked="0"/>
    </xf>
    <xf numFmtId="0" fontId="12" fillId="0" borderId="14" xfId="573" applyFont="1" applyBorder="1" applyAlignment="1" applyProtection="1">
      <alignment horizontal="left" vertical="center" wrapText="1"/>
      <protection locked="0"/>
    </xf>
    <xf numFmtId="0" fontId="12" fillId="0" borderId="15" xfId="573" applyFont="1" applyBorder="1" applyAlignment="1" applyProtection="1">
      <alignment horizontal="left" vertical="center" wrapText="1"/>
      <protection locked="0"/>
    </xf>
    <xf numFmtId="0" fontId="12" fillId="0" borderId="16" xfId="573" applyFont="1" applyBorder="1" applyAlignment="1" applyProtection="1">
      <alignment vertical="center" wrapText="1"/>
      <protection locked="0"/>
    </xf>
    <xf numFmtId="0" fontId="12" fillId="0" borderId="0" xfId="573" applyFont="1" applyAlignment="1" applyProtection="1">
      <alignment vertical="center" wrapText="1"/>
      <protection locked="0"/>
    </xf>
    <xf numFmtId="0" fontId="12" fillId="0" borderId="17" xfId="573" applyFont="1" applyBorder="1" applyAlignment="1" applyProtection="1">
      <alignment vertical="center" wrapText="1"/>
      <protection locked="0"/>
    </xf>
    <xf numFmtId="0" fontId="12" fillId="0" borderId="13" xfId="573" applyFont="1" applyBorder="1" applyAlignment="1" applyProtection="1">
      <alignment vertical="center" wrapText="1"/>
      <protection locked="0"/>
    </xf>
    <xf numFmtId="0" fontId="12" fillId="0" borderId="14" xfId="573" applyFont="1" applyBorder="1" applyAlignment="1" applyProtection="1">
      <alignment vertical="center" wrapText="1"/>
      <protection locked="0"/>
    </xf>
    <xf numFmtId="0" fontId="12" fillId="0" borderId="15" xfId="573" applyFont="1" applyBorder="1" applyAlignment="1" applyProtection="1">
      <alignment vertical="center" wrapText="1"/>
      <protection locked="0"/>
    </xf>
    <xf numFmtId="0" fontId="12" fillId="0" borderId="16" xfId="573" applyFont="1" applyBorder="1" applyAlignment="1" applyProtection="1">
      <alignment horizontal="center" vertical="center" wrapText="1"/>
      <protection locked="0"/>
    </xf>
    <xf numFmtId="0" fontId="12" fillId="0" borderId="18" xfId="573" applyFont="1" applyBorder="1" applyAlignment="1" applyProtection="1">
      <alignment horizontal="center" vertical="center" wrapText="1"/>
      <protection locked="0"/>
    </xf>
    <xf numFmtId="0" fontId="12" fillId="0" borderId="19" xfId="573" applyFont="1" applyBorder="1" applyAlignment="1" applyProtection="1">
      <alignment horizontal="center" vertical="center" wrapText="1"/>
      <protection locked="0"/>
    </xf>
    <xf numFmtId="0" fontId="12" fillId="0" borderId="20" xfId="573" applyFont="1" applyBorder="1" applyAlignment="1" applyProtection="1">
      <alignment horizontal="center" vertical="center" wrapText="1"/>
      <protection locked="0"/>
    </xf>
    <xf numFmtId="0" fontId="12" fillId="0" borderId="21" xfId="573" applyFont="1" applyBorder="1" applyAlignment="1" applyProtection="1">
      <alignment vertical="center" wrapText="1"/>
      <protection locked="0"/>
    </xf>
    <xf numFmtId="0" fontId="12" fillId="0" borderId="22" xfId="573" applyFont="1" applyBorder="1" applyAlignment="1" applyProtection="1">
      <alignment horizontal="center" vertical="center" wrapText="1"/>
      <protection locked="0"/>
    </xf>
    <xf numFmtId="0" fontId="12" fillId="0" borderId="23" xfId="573" applyFont="1" applyBorder="1" applyAlignment="1" applyProtection="1">
      <alignment horizontal="center" vertical="center" wrapText="1"/>
      <protection locked="0"/>
    </xf>
    <xf numFmtId="0" fontId="12" fillId="0" borderId="24" xfId="573" applyFont="1" applyBorder="1" applyAlignment="1" applyProtection="1">
      <alignment horizontal="center" vertical="center" wrapText="1"/>
      <protection locked="0"/>
    </xf>
    <xf numFmtId="0" fontId="12" fillId="0" borderId="25" xfId="573" applyFont="1" applyBorder="1" applyAlignment="1" applyProtection="1">
      <alignment horizontal="center" vertical="center" wrapText="1"/>
      <protection locked="0"/>
    </xf>
    <xf numFmtId="0" fontId="12" fillId="0" borderId="26" xfId="573" applyFont="1" applyBorder="1" applyAlignment="1" applyProtection="1">
      <alignment vertical="center" wrapText="1"/>
      <protection locked="0"/>
    </xf>
    <xf numFmtId="0" fontId="12" fillId="0" borderId="27" xfId="573" applyFont="1" applyBorder="1" applyAlignment="1" applyProtection="1">
      <alignment horizontal="center" vertical="center" wrapText="1"/>
      <protection locked="0"/>
    </xf>
    <xf numFmtId="0" fontId="12" fillId="0" borderId="28" xfId="573" applyFont="1" applyBorder="1" applyAlignment="1" applyProtection="1">
      <alignment horizontal="center" vertical="center" wrapText="1"/>
      <protection locked="0"/>
    </xf>
    <xf numFmtId="0" fontId="12" fillId="0" borderId="13" xfId="573" applyFont="1" applyBorder="1" applyAlignment="1" applyProtection="1">
      <alignment horizontal="center" vertical="center" wrapText="1"/>
      <protection locked="0"/>
    </xf>
    <xf numFmtId="0" fontId="12" fillId="0" borderId="29" xfId="573" applyFont="1" applyBorder="1" applyAlignment="1" applyProtection="1">
      <alignment horizontal="center" vertical="center" wrapText="1"/>
      <protection locked="0"/>
    </xf>
    <xf numFmtId="0" fontId="12" fillId="0" borderId="30" xfId="573" applyFont="1" applyBorder="1" applyAlignment="1" applyProtection="1">
      <alignment horizontal="center" vertical="center" wrapText="1"/>
      <protection locked="0"/>
    </xf>
    <xf numFmtId="0" fontId="12" fillId="0" borderId="31" xfId="573" applyFont="1" applyBorder="1" applyAlignment="1" applyProtection="1">
      <alignment horizontal="center" vertical="center" wrapText="1"/>
      <protection locked="0"/>
    </xf>
    <xf numFmtId="0" fontId="12" fillId="0" borderId="32" xfId="573" applyFont="1" applyBorder="1" applyAlignment="1" applyProtection="1">
      <alignment vertical="center" wrapText="1"/>
      <protection locked="0"/>
    </xf>
    <xf numFmtId="0" fontId="12" fillId="0" borderId="33" xfId="573" applyFont="1" applyBorder="1" applyAlignment="1" applyProtection="1">
      <alignment horizontal="center" vertical="center" wrapText="1"/>
      <protection locked="0"/>
    </xf>
    <xf numFmtId="0" fontId="12" fillId="0" borderId="34" xfId="573" applyFont="1" applyBorder="1" applyAlignment="1" applyProtection="1">
      <alignment horizontal="center" vertical="center" wrapText="1"/>
      <protection locked="0"/>
    </xf>
    <xf numFmtId="0" fontId="12" fillId="0" borderId="10" xfId="573" applyFont="1" applyBorder="1" applyAlignment="1" applyProtection="1">
      <alignment horizontal="center" vertical="center" wrapText="1"/>
      <protection locked="0"/>
    </xf>
    <xf numFmtId="0" fontId="12" fillId="0" borderId="35" xfId="573" applyFont="1" applyBorder="1" applyAlignment="1" applyProtection="1">
      <alignment horizontal="center" vertical="center" wrapText="1"/>
      <protection locked="0"/>
    </xf>
    <xf numFmtId="0" fontId="12" fillId="0" borderId="36" xfId="573" applyFont="1" applyBorder="1" applyAlignment="1" applyProtection="1">
      <alignment horizontal="center" vertical="center" wrapText="1"/>
      <protection locked="0"/>
    </xf>
    <xf numFmtId="0" fontId="12" fillId="0" borderId="37" xfId="573" applyFont="1" applyBorder="1" applyAlignment="1" applyProtection="1">
      <alignment horizontal="center" vertical="center" wrapText="1"/>
      <protection locked="0"/>
    </xf>
    <xf numFmtId="0" fontId="12" fillId="0" borderId="38" xfId="573" applyFont="1" applyBorder="1" applyAlignment="1" applyProtection="1">
      <alignment vertical="center" wrapText="1"/>
      <protection locked="0"/>
    </xf>
    <xf numFmtId="0" fontId="12" fillId="0" borderId="39" xfId="573" applyFont="1" applyBorder="1" applyAlignment="1" applyProtection="1">
      <alignment horizontal="left" vertical="center" wrapText="1"/>
      <protection locked="0"/>
    </xf>
    <xf numFmtId="0" fontId="12" fillId="0" borderId="40" xfId="573" applyFont="1" applyBorder="1" applyAlignment="1" applyProtection="1">
      <alignment horizontal="left" vertical="center" wrapText="1"/>
      <protection locked="0"/>
    </xf>
    <xf numFmtId="0" fontId="12" fillId="0" borderId="41" xfId="573" applyFont="1" applyBorder="1" applyAlignment="1" applyProtection="1">
      <alignment vertical="center" wrapText="1"/>
      <protection locked="0"/>
    </xf>
    <xf numFmtId="0" fontId="12" fillId="0" borderId="42" xfId="573" applyFont="1" applyBorder="1" applyAlignment="1" applyProtection="1">
      <alignment horizontal="left" vertical="center" wrapText="1"/>
      <protection locked="0"/>
    </xf>
    <xf numFmtId="0" fontId="12" fillId="0" borderId="43" xfId="573" applyFont="1" applyBorder="1" applyAlignment="1" applyProtection="1">
      <alignment horizontal="left" vertical="center" wrapText="1"/>
      <protection locked="0"/>
    </xf>
    <xf numFmtId="0" fontId="12" fillId="0" borderId="44" xfId="573" applyFont="1" applyBorder="1" applyAlignment="1" applyProtection="1">
      <alignment horizontal="center" vertical="center" wrapText="1"/>
      <protection locked="0"/>
    </xf>
    <xf numFmtId="0" fontId="12" fillId="0" borderId="11" xfId="573" applyFont="1" applyBorder="1" applyAlignment="1" applyProtection="1">
      <alignment horizontal="center" vertical="center" wrapText="1"/>
      <protection locked="0"/>
    </xf>
    <xf numFmtId="0" fontId="12" fillId="0" borderId="40" xfId="573" applyFont="1" applyBorder="1" applyAlignment="1" applyProtection="1">
      <alignment horizontal="center" vertical="center" wrapText="1"/>
      <protection locked="0"/>
    </xf>
    <xf numFmtId="0" fontId="12" fillId="0" borderId="39" xfId="573" applyFont="1" applyBorder="1" applyAlignment="1" applyProtection="1">
      <alignment horizontal="center" vertical="center" wrapText="1"/>
      <protection locked="0"/>
    </xf>
    <xf numFmtId="0" fontId="12" fillId="0" borderId="12" xfId="573" applyFont="1" applyBorder="1" applyAlignment="1" applyProtection="1">
      <alignment horizontal="center" vertical="center" wrapText="1"/>
      <protection locked="0"/>
    </xf>
    <xf numFmtId="0" fontId="12" fillId="0" borderId="45" xfId="573" applyFont="1" applyBorder="1" applyAlignment="1" applyProtection="1">
      <alignment horizontal="center" vertical="center" wrapText="1"/>
      <protection locked="0"/>
    </xf>
    <xf numFmtId="0" fontId="12" fillId="0" borderId="46" xfId="573" applyFont="1" applyBorder="1" applyAlignment="1" applyProtection="1">
      <alignment horizontal="center" vertical="center" wrapText="1"/>
      <protection locked="0"/>
    </xf>
    <xf numFmtId="0" fontId="12" fillId="0" borderId="47" xfId="573" applyFont="1" applyBorder="1" applyAlignment="1" applyProtection="1">
      <alignment horizontal="center" vertical="center" wrapText="1"/>
      <protection locked="0"/>
    </xf>
    <xf numFmtId="0" fontId="12" fillId="0" borderId="48" xfId="573" applyFont="1" applyBorder="1" applyAlignment="1" applyProtection="1">
      <alignment horizontal="center" vertical="center" wrapText="1"/>
      <protection locked="0"/>
    </xf>
    <xf numFmtId="0" fontId="12" fillId="0" borderId="49" xfId="573" applyFont="1" applyBorder="1" applyAlignment="1" applyProtection="1">
      <alignment horizontal="center" vertical="center" wrapText="1"/>
      <protection locked="0"/>
    </xf>
    <xf numFmtId="0" fontId="12" fillId="0" borderId="50" xfId="573" applyFont="1" applyBorder="1" applyAlignment="1" applyProtection="1">
      <alignment horizontal="center" vertical="center" wrapText="1"/>
      <protection locked="0"/>
    </xf>
    <xf numFmtId="0" fontId="12" fillId="0" borderId="51" xfId="573" applyFont="1" applyBorder="1" applyAlignment="1" applyProtection="1">
      <alignment horizontal="center" vertical="center" wrapText="1"/>
      <protection locked="0"/>
    </xf>
    <xf numFmtId="0" fontId="13" fillId="0" borderId="0" xfId="0" applyFont="1" applyAlignment="1" applyProtection="1">
      <alignment horizontal="right" vertical="center" wrapText="1"/>
      <protection locked="0"/>
    </xf>
    <xf numFmtId="0" fontId="13" fillId="0" borderId="0" xfId="0" applyFont="1" applyAlignment="1" applyProtection="1">
      <alignment horizontal="left" vertical="center" wrapText="1"/>
      <protection locked="0"/>
    </xf>
    <xf numFmtId="0" fontId="13" fillId="0" borderId="0" xfId="0" applyFont="1" applyAlignment="1" applyProtection="1">
      <alignment vertical="center" wrapText="1"/>
      <protection locked="0"/>
    </xf>
    <xf numFmtId="0" fontId="14" fillId="0" borderId="0" xfId="0" applyFont="1" applyAlignment="1">
      <alignment vertical="center" wrapText="1"/>
    </xf>
    <xf numFmtId="0" fontId="13" fillId="0" borderId="0" xfId="0" applyFont="1" applyAlignment="1">
      <alignment vertical="center"/>
    </xf>
    <xf numFmtId="0" fontId="15" fillId="0" borderId="0" xfId="0" applyFont="1" applyAlignment="1">
      <alignment vertical="center" wrapText="1"/>
    </xf>
    <xf numFmtId="0" fontId="15" fillId="0" borderId="0" xfId="0" applyFont="1" applyAlignment="1">
      <alignment horizontal="center" vertical="center" wrapText="1"/>
    </xf>
    <xf numFmtId="0" fontId="7" fillId="0" borderId="0" xfId="0" applyFont="1" applyAlignment="1">
      <alignment horizontal="right" vertical="center" wrapText="1"/>
    </xf>
    <xf numFmtId="0" fontId="7" fillId="0" borderId="14" xfId="0" applyFont="1" applyBorder="1" applyAlignment="1">
      <alignment horizontal="left" vertical="center" wrapText="1"/>
    </xf>
    <xf numFmtId="0" fontId="15" fillId="0" borderId="14" xfId="0" applyFont="1" applyBorder="1" applyAlignment="1">
      <alignment horizontal="center" vertical="center" wrapText="1"/>
    </xf>
    <xf numFmtId="0" fontId="16" fillId="0" borderId="0" xfId="0" applyFont="1" applyAlignment="1">
      <alignment horizontal="center" vertical="center" wrapText="1"/>
    </xf>
    <xf numFmtId="0" fontId="16" fillId="6" borderId="1" xfId="577" applyFont="1" applyFill="1" applyBorder="1" applyAlignment="1">
      <alignment horizontal="center" vertical="center" wrapText="1"/>
    </xf>
    <xf numFmtId="0" fontId="16" fillId="0" borderId="0" xfId="577" applyFont="1" applyAlignment="1">
      <alignment horizontal="center" vertical="center" wrapText="1"/>
    </xf>
    <xf numFmtId="0" fontId="15" fillId="4" borderId="1" xfId="0" applyFont="1" applyFill="1" applyBorder="1" applyAlignment="1">
      <alignment horizontal="right" vertical="center" wrapText="1"/>
    </xf>
    <xf numFmtId="0" fontId="17" fillId="4" borderId="1" xfId="0" applyFont="1" applyFill="1" applyBorder="1" applyAlignment="1">
      <alignment horizontal="center" vertical="center" wrapText="1"/>
    </xf>
    <xf numFmtId="0" fontId="16" fillId="4" borderId="52" xfId="0" applyFont="1" applyFill="1" applyBorder="1" applyAlignment="1">
      <alignment vertical="center" wrapText="1"/>
    </xf>
    <xf numFmtId="0" fontId="18" fillId="4" borderId="1" xfId="0" applyFont="1" applyFill="1" applyBorder="1" applyAlignment="1">
      <alignment horizontal="center" vertical="center" wrapText="1"/>
    </xf>
    <xf numFmtId="0" fontId="18" fillId="0" borderId="0" xfId="0" applyFont="1" applyAlignment="1">
      <alignment horizontal="center" vertical="center" wrapText="1"/>
    </xf>
    <xf numFmtId="0" fontId="2" fillId="0" borderId="8" xfId="577" applyFont="1" applyBorder="1" applyAlignment="1">
      <alignment horizontal="center" vertical="center" wrapText="1"/>
    </xf>
    <xf numFmtId="0" fontId="2" fillId="0" borderId="53" xfId="577" applyFont="1" applyBorder="1" applyAlignment="1">
      <alignment horizontal="center" vertical="center" wrapText="1"/>
    </xf>
    <xf numFmtId="0" fontId="2" fillId="0" borderId="54" xfId="577" applyFont="1" applyBorder="1" applyAlignment="1">
      <alignment horizontal="center" vertical="center" wrapText="1"/>
    </xf>
    <xf numFmtId="0" fontId="2" fillId="0" borderId="54" xfId="577" applyFont="1" applyBorder="1" applyAlignment="1">
      <alignment horizontal="left" vertical="center" wrapText="1"/>
    </xf>
    <xf numFmtId="0" fontId="2" fillId="0" borderId="52" xfId="577" applyFont="1" applyBorder="1" applyAlignment="1">
      <alignment horizontal="left" vertical="center" wrapText="1"/>
    </xf>
    <xf numFmtId="0" fontId="2" fillId="0" borderId="1" xfId="0" applyFont="1" applyBorder="1" applyAlignment="1">
      <alignment horizontal="left" vertical="center" wrapText="1"/>
    </xf>
    <xf numFmtId="0" fontId="2" fillId="0" borderId="0" xfId="577" applyFont="1" applyAlignment="1">
      <alignment horizontal="center" vertical="center" wrapText="1"/>
    </xf>
    <xf numFmtId="0" fontId="2" fillId="0" borderId="55" xfId="577" applyFont="1" applyBorder="1" applyAlignment="1">
      <alignment horizontal="center" vertical="center" wrapText="1"/>
    </xf>
    <xf numFmtId="0" fontId="2" fillId="0" borderId="56" xfId="577" applyFont="1" applyBorder="1" applyAlignment="1">
      <alignment horizontal="center" vertical="center" wrapText="1"/>
    </xf>
    <xf numFmtId="0" fontId="2" fillId="0" borderId="53" xfId="577" applyFont="1" applyBorder="1" applyAlignment="1">
      <alignment horizontal="left" vertical="center" wrapText="1"/>
    </xf>
    <xf numFmtId="0" fontId="2" fillId="0" borderId="8" xfId="577" applyFont="1" applyBorder="1" applyAlignment="1">
      <alignment horizontal="left" vertical="center" wrapText="1"/>
    </xf>
    <xf numFmtId="0" fontId="2" fillId="0" borderId="39" xfId="577" applyFont="1" applyBorder="1" applyAlignment="1">
      <alignment horizontal="center" vertical="center" wrapText="1"/>
    </xf>
    <xf numFmtId="0" fontId="2" fillId="0" borderId="40" xfId="577" applyFont="1" applyBorder="1" applyAlignment="1">
      <alignment horizontal="center" vertical="center" wrapText="1"/>
    </xf>
    <xf numFmtId="0" fontId="2" fillId="0" borderId="0" xfId="0" applyFont="1" applyAlignment="1">
      <alignment horizontal="left" vertical="center" wrapText="1"/>
    </xf>
    <xf numFmtId="0" fontId="2" fillId="0" borderId="55" xfId="577" applyFont="1" applyBorder="1" applyAlignment="1">
      <alignment horizontal="left" vertical="center" wrapText="1"/>
    </xf>
    <xf numFmtId="0" fontId="2" fillId="0" borderId="57" xfId="577" applyFont="1" applyBorder="1" applyAlignment="1">
      <alignment horizontal="center" vertical="center" wrapText="1"/>
    </xf>
    <xf numFmtId="0" fontId="2" fillId="0" borderId="58" xfId="577" applyFont="1" applyBorder="1" applyAlignment="1">
      <alignment horizontal="center" vertical="center" wrapText="1"/>
    </xf>
    <xf numFmtId="0" fontId="2" fillId="0" borderId="56" xfId="577" applyFont="1" applyBorder="1" applyAlignment="1">
      <alignment horizontal="left" vertical="center" wrapText="1"/>
    </xf>
    <xf numFmtId="0" fontId="2" fillId="0" borderId="42" xfId="577" applyFont="1" applyBorder="1" applyAlignment="1">
      <alignment horizontal="center" vertical="center" wrapText="1"/>
    </xf>
    <xf numFmtId="0" fontId="2" fillId="0" borderId="43" xfId="577" applyFont="1" applyBorder="1" applyAlignment="1">
      <alignment horizontal="center" vertical="center" wrapText="1"/>
    </xf>
    <xf numFmtId="0" fontId="16" fillId="4" borderId="1" xfId="577" applyFont="1" applyFill="1" applyBorder="1" applyAlignment="1">
      <alignment horizontal="right" vertical="center" wrapText="1"/>
    </xf>
    <xf numFmtId="0" fontId="2" fillId="4" borderId="1" xfId="0" applyFont="1" applyFill="1" applyBorder="1" applyAlignment="1">
      <alignment horizontal="center" vertical="center" wrapText="1"/>
    </xf>
    <xf numFmtId="0" fontId="19" fillId="0" borderId="1" xfId="0" applyFont="1" applyBorder="1" applyAlignment="1">
      <alignment horizontal="left" vertical="center" wrapText="1"/>
    </xf>
    <xf numFmtId="0" fontId="2" fillId="0" borderId="1" xfId="0" applyFont="1" applyBorder="1" applyAlignment="1">
      <alignment vertical="center" wrapText="1"/>
    </xf>
    <xf numFmtId="0" fontId="8" fillId="0" borderId="1" xfId="0" applyFont="1" applyBorder="1" applyAlignment="1">
      <alignment horizontal="left" vertical="center" wrapText="1"/>
    </xf>
    <xf numFmtId="0" fontId="19" fillId="0" borderId="0" xfId="0" applyFont="1" applyAlignment="1">
      <alignment horizontal="left" vertical="center" wrapText="1"/>
    </xf>
    <xf numFmtId="0" fontId="2" fillId="0" borderId="0" xfId="0" applyFont="1" applyAlignment="1">
      <alignment vertical="center" wrapText="1"/>
    </xf>
    <xf numFmtId="0" fontId="14" fillId="0" borderId="0" xfId="0" applyFont="1" applyAlignment="1">
      <alignment horizontal="left" vertical="top" wrapText="1"/>
    </xf>
    <xf numFmtId="0" fontId="19" fillId="0" borderId="0" xfId="0" applyFont="1" applyAlignment="1">
      <alignment horizontal="center" vertical="center" wrapText="1"/>
    </xf>
    <xf numFmtId="0" fontId="2" fillId="0" borderId="0" xfId="0" applyFont="1" applyAlignment="1">
      <alignment horizontal="center" vertical="center" wrapText="1"/>
    </xf>
    <xf numFmtId="0" fontId="16" fillId="0" borderId="0" xfId="0" applyFont="1" applyAlignment="1">
      <alignment horizontal="left" vertical="center" wrapText="1"/>
    </xf>
    <xf numFmtId="0" fontId="20" fillId="0" borderId="0" xfId="0" applyFont="1" applyAlignment="1" applyProtection="1">
      <alignment horizontal="right" vertical="center" wrapText="1"/>
      <protection locked="0"/>
    </xf>
    <xf numFmtId="0" fontId="14" fillId="0" borderId="0" xfId="0" applyFont="1" applyAlignment="1" applyProtection="1">
      <alignment horizontal="right" vertical="center" wrapText="1"/>
      <protection locked="0"/>
    </xf>
    <xf numFmtId="0" fontId="14" fillId="0" borderId="0" xfId="0" applyFont="1" applyAlignment="1" applyProtection="1">
      <alignment horizontal="left" vertical="center" wrapText="1"/>
      <protection locked="0"/>
    </xf>
    <xf numFmtId="0" fontId="21" fillId="0" borderId="1" xfId="0" applyFont="1" applyBorder="1" applyAlignment="1">
      <alignment horizontal="center" vertical="center"/>
    </xf>
    <xf numFmtId="0" fontId="22" fillId="0" borderId="1" xfId="0" applyFont="1" applyBorder="1" applyAlignment="1">
      <alignment horizontal="center" vertical="center" wrapText="1"/>
    </xf>
    <xf numFmtId="0" fontId="22" fillId="0" borderId="1" xfId="0" applyFont="1" applyBorder="1" applyAlignment="1">
      <alignment horizontal="center" vertical="center"/>
    </xf>
    <xf numFmtId="0" fontId="16" fillId="0" borderId="0" xfId="0" applyFont="1" applyAlignment="1">
      <alignment horizontal="right" vertical="center" wrapText="1"/>
    </xf>
    <xf numFmtId="0" fontId="23" fillId="0" borderId="14" xfId="0" applyFont="1" applyBorder="1" applyAlignment="1">
      <alignment horizontal="right" vertical="center"/>
    </xf>
    <xf numFmtId="0" fontId="23" fillId="0" borderId="14" xfId="0" applyFont="1" applyBorder="1" applyAlignment="1">
      <alignment vertical="center"/>
    </xf>
    <xf numFmtId="0" fontId="23" fillId="0" borderId="14" xfId="0" applyFont="1" applyBorder="1" applyAlignment="1">
      <alignment horizontal="center" vertical="center" wrapText="1"/>
    </xf>
    <xf numFmtId="0" fontId="16" fillId="0" borderId="14" xfId="0" applyFont="1" applyBorder="1" applyAlignment="1">
      <alignment horizontal="center" vertical="center" wrapText="1"/>
    </xf>
    <xf numFmtId="0" fontId="23" fillId="0" borderId="14" xfId="0" applyFont="1" applyBorder="1" applyAlignment="1">
      <alignment horizontal="left" vertical="center" wrapText="1"/>
    </xf>
    <xf numFmtId="0" fontId="24" fillId="0" borderId="14" xfId="6" applyBorder="1" applyAlignment="1">
      <alignment horizontal="left" vertical="center" wrapText="1"/>
    </xf>
    <xf numFmtId="0" fontId="18" fillId="0" borderId="0" xfId="0" applyFont="1" applyAlignment="1">
      <alignment horizontal="left" vertical="center" wrapText="1"/>
    </xf>
    <xf numFmtId="0" fontId="16" fillId="6" borderId="0" xfId="577" applyFont="1" applyFill="1" applyAlignment="1">
      <alignment horizontal="center" vertical="center" wrapText="1"/>
    </xf>
    <xf numFmtId="0" fontId="16" fillId="4" borderId="1" xfId="0" applyFont="1" applyFill="1" applyBorder="1" applyAlignment="1">
      <alignment horizontal="right" vertical="center" wrapText="1"/>
    </xf>
    <xf numFmtId="0" fontId="16" fillId="4" borderId="1" xfId="0" applyFont="1" applyFill="1" applyBorder="1" applyAlignment="1">
      <alignment horizontal="center" vertical="center" wrapText="1"/>
    </xf>
    <xf numFmtId="2" fontId="16" fillId="4" borderId="1" xfId="0" applyNumberFormat="1" applyFont="1" applyFill="1" applyBorder="1" applyAlignment="1">
      <alignment horizontal="center" vertical="center" wrapText="1"/>
    </xf>
    <xf numFmtId="0" fontId="16" fillId="4" borderId="0" xfId="0" applyFont="1" applyFill="1" applyAlignment="1">
      <alignment horizontal="center" vertical="center" wrapText="1"/>
    </xf>
    <xf numFmtId="0" fontId="25" fillId="0" borderId="1" xfId="577" applyFont="1" applyBorder="1" applyAlignment="1">
      <alignment horizontal="left" vertical="center" wrapText="1"/>
    </xf>
    <xf numFmtId="0" fontId="2" fillId="0" borderId="1" xfId="577" applyFont="1" applyBorder="1" applyAlignment="1">
      <alignment vertical="center" wrapText="1"/>
    </xf>
    <xf numFmtId="0" fontId="25" fillId="0" borderId="53" xfId="577" applyFont="1" applyBorder="1" applyAlignment="1">
      <alignment vertical="center" wrapText="1"/>
    </xf>
    <xf numFmtId="0" fontId="25" fillId="0" borderId="52" xfId="577" applyFont="1" applyBorder="1" applyAlignment="1">
      <alignment vertical="center" wrapText="1"/>
    </xf>
    <xf numFmtId="0" fontId="2" fillId="0" borderId="1" xfId="0" applyFont="1" applyBorder="1" applyAlignment="1">
      <alignment horizontal="center" vertical="center" wrapText="1"/>
    </xf>
    <xf numFmtId="0" fontId="16" fillId="4" borderId="1" xfId="577" applyFont="1" applyFill="1" applyBorder="1" applyAlignment="1">
      <alignment vertical="center" wrapText="1"/>
    </xf>
    <xf numFmtId="0" fontId="18" fillId="4" borderId="1" xfId="577" applyFont="1" applyFill="1" applyBorder="1" applyAlignment="1">
      <alignment horizontal="center" vertical="center" wrapText="1"/>
    </xf>
    <xf numFmtId="0" fontId="16" fillId="4" borderId="1" xfId="577" applyFont="1" applyFill="1" applyBorder="1" applyAlignment="1">
      <alignment horizontal="center" vertical="center" wrapText="1"/>
    </xf>
    <xf numFmtId="0" fontId="2" fillId="0" borderId="8" xfId="0" applyFont="1" applyBorder="1" applyAlignment="1">
      <alignment horizontal="center" vertical="center" wrapText="1"/>
    </xf>
    <xf numFmtId="0" fontId="26" fillId="0" borderId="1" xfId="0" applyFont="1" applyBorder="1" applyAlignment="1">
      <alignment vertical="top" wrapText="1"/>
    </xf>
    <xf numFmtId="0" fontId="2" fillId="7" borderId="1" xfId="0" applyFont="1" applyFill="1" applyBorder="1" applyAlignment="1">
      <alignment horizontal="left" vertical="center" wrapText="1"/>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0" fontId="2" fillId="0" borderId="1" xfId="0" applyFont="1" applyBorder="1" applyAlignment="1">
      <alignment horizontal="left" vertical="top" wrapText="1"/>
    </xf>
    <xf numFmtId="0" fontId="2" fillId="3" borderId="1" xfId="577" applyFont="1" applyFill="1" applyBorder="1" applyAlignment="1">
      <alignment horizontal="left" vertical="top" wrapText="1"/>
    </xf>
    <xf numFmtId="0" fontId="26" fillId="0" borderId="1" xfId="0" applyFont="1" applyBorder="1" applyAlignment="1">
      <alignment horizontal="left" vertical="top" wrapText="1"/>
    </xf>
    <xf numFmtId="0" fontId="26" fillId="0" borderId="8" xfId="0" applyFont="1" applyBorder="1" applyAlignment="1">
      <alignment horizontal="center" vertical="center" wrapText="1"/>
    </xf>
    <xf numFmtId="0" fontId="26" fillId="0" borderId="55" xfId="0" applyFont="1" applyBorder="1" applyAlignment="1">
      <alignment horizontal="center" vertical="center" wrapText="1"/>
    </xf>
    <xf numFmtId="0" fontId="26" fillId="0" borderId="56" xfId="0" applyFont="1" applyBorder="1" applyAlignment="1">
      <alignment horizontal="center" vertical="center" wrapText="1"/>
    </xf>
  </cellXfs>
  <cellStyles count="68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 xfId="49"/>
    <cellStyle name="(1,000)" xfId="50"/>
    <cellStyle name="(1,000)x" xfId="51"/>
    <cellStyle name="??" xfId="52"/>
    <cellStyle name="?? [0]" xfId="53"/>
    <cellStyle name="?? [0] 2" xfId="54"/>
    <cellStyle name="?? 2" xfId="55"/>
    <cellStyle name="?? 2 2" xfId="56"/>
    <cellStyle name="??_0N-HANDLING " xfId="57"/>
    <cellStyle name="@_text" xfId="58"/>
    <cellStyle name="@ET_Style?.xl23" xfId="59"/>
    <cellStyle name="_" xfId="60"/>
    <cellStyle name="_ 2" xfId="61"/>
    <cellStyle name="_！！！（发布版）06年5月财务统计分析资料" xfId="62"/>
    <cellStyle name="_！！！（发布版）06年5月财务统计分析资料 2" xfId="63"/>
    <cellStyle name="_(中企华)审计评估联合申报明细表.V1" xfId="64"/>
    <cellStyle name="_____v1.0_20090910 2" xfId="65"/>
    <cellStyle name="_07年全省物资采购类（佣金）关联交易预算模版" xfId="66"/>
    <cellStyle name="_07年全省物资采购类（佣金）关联交易预算模版 2" xfId="67"/>
    <cellStyle name="_09 租赁收入预算表_v.2.1_20090914" xfId="68"/>
    <cellStyle name="_09 租赁收入预算表_v.2.1_20090914 2" xfId="69"/>
    <cellStyle name="_1" xfId="70"/>
    <cellStyle name="_1 2" xfId="71"/>
    <cellStyle name="_2006滚动规划科技项目需求汇总表格－知识库&amp;排班_各市分专业收入预测1_2007年经营概算模型0907_2007年现金流预算模型 -HQ v1.2_2008年现金流预算模板_集团优化方案（集团）_v1.0 2" xfId="72"/>
    <cellStyle name="_20081217上缴调度资金记录、考核调整测算表（08年）" xfId="73"/>
    <cellStyle name="_2009年预算测算底稿V5" xfId="74"/>
    <cellStyle name="_2010年预算与会计科目科目对照0715 2" xfId="75"/>
    <cellStyle name="—_Book2" xfId="76"/>
    <cellStyle name="_Comma" xfId="77"/>
    <cellStyle name="_Currency" xfId="78"/>
    <cellStyle name="_Currency_summary for consolidation_总部损益实际" xfId="79"/>
    <cellStyle name="_CurrencySpace" xfId="80"/>
    <cellStyle name="_ET_STYLE_NoName_00_" xfId="81"/>
    <cellStyle name="—_GS Assumptions-F" xfId="82"/>
    <cellStyle name="—_GS Assumptions-F 2" xfId="83"/>
    <cellStyle name="—_GS_Cash  3" xfId="84"/>
    <cellStyle name="—_I&amp;O Report Tables" xfId="85"/>
    <cellStyle name="—_I&amp;O Report Tables_candicetables" xfId="86"/>
    <cellStyle name="_Multiple" xfId="87"/>
    <cellStyle name="_MultipleSpace" xfId="88"/>
    <cellStyle name="_Percent" xfId="89"/>
    <cellStyle name="_PercentSpace" xfId="90"/>
    <cellStyle name="—_report1198tables" xfId="91"/>
    <cellStyle name="—_report1198tables_anne" xfId="92"/>
    <cellStyle name="`" xfId="93"/>
    <cellStyle name="` 2" xfId="94"/>
    <cellStyle name="{" xfId="95"/>
    <cellStyle name="{ 2" xfId="96"/>
    <cellStyle name="{Comma [0]}" xfId="97"/>
    <cellStyle name="{Comma}" xfId="98"/>
    <cellStyle name="{Date}" xfId="99"/>
    <cellStyle name="{Month}" xfId="100"/>
    <cellStyle name="{Percent}" xfId="101"/>
    <cellStyle name="{Thousand [0]}" xfId="102"/>
    <cellStyle name="{Thousand}" xfId="103"/>
    <cellStyle name="{Z'0000(1 dec)}" xfId="104"/>
    <cellStyle name="{Z'0000(4 dec)}" xfId="105"/>
    <cellStyle name="" xfId="106"/>
    <cellStyle name="" xfId="107"/>
    <cellStyle name=" 2" xfId="108"/>
    <cellStyle name=" 2" xfId="109"/>
    <cellStyle name="0%" xfId="110"/>
    <cellStyle name="0,0_x000d_ NA_x000d_ " xfId="111"/>
    <cellStyle name="0,0_x000d__x000a_NA_x0008__x0004_" xfId="112"/>
    <cellStyle name="0,0_x000d__x000a_NA_x000d__x000a_" xfId="113"/>
    <cellStyle name="0.0%" xfId="114"/>
    <cellStyle name="0.00%" xfId="115"/>
    <cellStyle name="00" xfId="116"/>
    <cellStyle name="1,000" xfId="117"/>
    <cellStyle name="1,000x" xfId="118"/>
    <cellStyle name="20% - Accent1" xfId="119"/>
    <cellStyle name="20% - Accent1 2" xfId="120"/>
    <cellStyle name="20% - Accent1 2 2" xfId="121"/>
    <cellStyle name="20% - Accent1 5" xfId="122"/>
    <cellStyle name="20% - Accent1 5 2" xfId="123"/>
    <cellStyle name="20% - Accent1 6" xfId="124"/>
    <cellStyle name="20% - Accent1 7" xfId="125"/>
    <cellStyle name="20% - Accent2" xfId="126"/>
    <cellStyle name="20% - Accent2 2" xfId="127"/>
    <cellStyle name="20% - Accent2 2 2" xfId="128"/>
    <cellStyle name="20% - Accent2 5" xfId="129"/>
    <cellStyle name="20% - Accent2 5 2" xfId="130"/>
    <cellStyle name="20% - Accent2 6" xfId="131"/>
    <cellStyle name="20% - Accent2 7" xfId="132"/>
    <cellStyle name="20% - Accent3 2" xfId="133"/>
    <cellStyle name="20% - Accent3 2 2" xfId="134"/>
    <cellStyle name="20% - Accent3 5" xfId="135"/>
    <cellStyle name="20% - Accent3 5 2" xfId="136"/>
    <cellStyle name="20% - Accent3 6" xfId="137"/>
    <cellStyle name="20% - Accent3 7" xfId="138"/>
    <cellStyle name="20% - Accent4" xfId="139"/>
    <cellStyle name="20% - Accent4 2" xfId="140"/>
    <cellStyle name="20% - Accent4 2 2" xfId="141"/>
    <cellStyle name="20% - Accent4 5 2" xfId="142"/>
    <cellStyle name="20% - Accent4 7" xfId="143"/>
    <cellStyle name="20% - Accent5 2" xfId="144"/>
    <cellStyle name="20% - Accent5 2 2" xfId="145"/>
    <cellStyle name="20% - Accent5 5 2" xfId="146"/>
    <cellStyle name="20% - Accent5 7" xfId="147"/>
    <cellStyle name="20% - Accent6 5 2" xfId="148"/>
    <cellStyle name="20% - Accent6 7" xfId="149"/>
    <cellStyle name="20% - 着色 1 2" xfId="150"/>
    <cellStyle name="20% - 着色 2 2" xfId="151"/>
    <cellStyle name="20% - 着色 3 2" xfId="152"/>
    <cellStyle name="20% - 着色 4 2" xfId="153"/>
    <cellStyle name="20% - 着色 5 2" xfId="154"/>
    <cellStyle name="20% - 着色 6 2" xfId="155"/>
    <cellStyle name="3?1?_REF" xfId="156"/>
    <cellStyle name="40% - Accent1 2" xfId="157"/>
    <cellStyle name="40% - Accent1 2 2" xfId="158"/>
    <cellStyle name="40% - Accent1 5" xfId="159"/>
    <cellStyle name="40% - Accent1 5 2" xfId="160"/>
    <cellStyle name="40% - Accent1 6" xfId="161"/>
    <cellStyle name="40% - Accent1 7" xfId="162"/>
    <cellStyle name="40% - Accent2 2" xfId="163"/>
    <cellStyle name="40% - Accent2 2 2" xfId="164"/>
    <cellStyle name="40% - Accent2 5 2" xfId="165"/>
    <cellStyle name="40% - Accent3 5" xfId="166"/>
    <cellStyle name="40% - Accent3 5 2" xfId="167"/>
    <cellStyle name="40% - Accent3 6" xfId="168"/>
    <cellStyle name="40% - Accent3 7" xfId="169"/>
    <cellStyle name="40% - Accent6 2" xfId="170"/>
    <cellStyle name="40% - Accent6 2 2" xfId="171"/>
    <cellStyle name="40% - Accent6 5 2" xfId="172"/>
    <cellStyle name="40% - Accent6 7" xfId="173"/>
    <cellStyle name="40% - 着色 1 2" xfId="174"/>
    <cellStyle name="40% - 着色 2 2" xfId="175"/>
    <cellStyle name="40% - 着色 3 2" xfId="176"/>
    <cellStyle name="40% - 着色 4 2" xfId="177"/>
    <cellStyle name="40% - 着色 5 2" xfId="178"/>
    <cellStyle name="40% - 着色 6 2" xfId="179"/>
    <cellStyle name="60% - Accent1" xfId="180"/>
    <cellStyle name="60% - Accent1 2" xfId="181"/>
    <cellStyle name="60% - Accent1 2 2" xfId="182"/>
    <cellStyle name="60% - Accent1 5" xfId="183"/>
    <cellStyle name="60% - Accent1 5 2" xfId="184"/>
    <cellStyle name="60% - Accent1 6" xfId="185"/>
    <cellStyle name="60% - Accent1 7" xfId="186"/>
    <cellStyle name="60% - Accent2" xfId="187"/>
    <cellStyle name="60% - Accent2 2" xfId="188"/>
    <cellStyle name="60% - Accent2 2 2" xfId="189"/>
    <cellStyle name="60% - Accent2 5" xfId="190"/>
    <cellStyle name="60% - Accent2 5 2" xfId="191"/>
    <cellStyle name="60% - Accent2 6" xfId="192"/>
    <cellStyle name="60% - Accent2 7" xfId="193"/>
    <cellStyle name="60% - Accent3 2" xfId="194"/>
    <cellStyle name="60% - Accent3 2 2" xfId="195"/>
    <cellStyle name="60% - Accent3 5" xfId="196"/>
    <cellStyle name="60% - Accent3 5 2" xfId="197"/>
    <cellStyle name="60% - Accent3 6" xfId="198"/>
    <cellStyle name="60% - Accent3 7" xfId="199"/>
    <cellStyle name="60% - Accent4" xfId="200"/>
    <cellStyle name="60% - Accent4 2" xfId="201"/>
    <cellStyle name="60% - Accent4 2 2" xfId="202"/>
    <cellStyle name="60% - Accent4 5" xfId="203"/>
    <cellStyle name="60% - Accent4 5 2" xfId="204"/>
    <cellStyle name="60% - Accent4 6" xfId="205"/>
    <cellStyle name="60% - Accent4 7" xfId="206"/>
    <cellStyle name="60% - Accent5 2" xfId="207"/>
    <cellStyle name="60% - Accent5 2 2" xfId="208"/>
    <cellStyle name="60% - Accent5 5 2" xfId="209"/>
    <cellStyle name="60% - Accent5 7" xfId="210"/>
    <cellStyle name="60% - Accent6 2" xfId="211"/>
    <cellStyle name="60% - Accent6 2 2" xfId="212"/>
    <cellStyle name="60% - Accent6 5" xfId="213"/>
    <cellStyle name="60% - Accent6 5 2" xfId="214"/>
    <cellStyle name="60% - Accent6 6" xfId="215"/>
    <cellStyle name="60% - Accent6 7" xfId="216"/>
    <cellStyle name="60% - 着色 1 2" xfId="217"/>
    <cellStyle name="60% - 着色 2 2" xfId="218"/>
    <cellStyle name="60% - 着色 3 2" xfId="219"/>
    <cellStyle name="60% - 着色 4 2" xfId="220"/>
    <cellStyle name="60% - 着色 5 2" xfId="221"/>
    <cellStyle name="60% - 着色 6 2" xfId="222"/>
    <cellStyle name="6mal" xfId="223"/>
    <cellStyle name="8" xfId="224"/>
    <cellStyle name="8 2" xfId="225"/>
    <cellStyle name="Accent1 2" xfId="226"/>
    <cellStyle name="Accent1 2 2" xfId="227"/>
    <cellStyle name="Accent1 5 2" xfId="228"/>
    <cellStyle name="Accent1 7" xfId="229"/>
    <cellStyle name="Accent2" xfId="230"/>
    <cellStyle name="Accent2 2" xfId="231"/>
    <cellStyle name="Accent2 2 2" xfId="232"/>
    <cellStyle name="Accent2 5" xfId="233"/>
    <cellStyle name="Accent2 5 2" xfId="234"/>
    <cellStyle name="Accent2 6" xfId="235"/>
    <cellStyle name="Accent2 7" xfId="236"/>
    <cellStyle name="Accent3 2" xfId="237"/>
    <cellStyle name="Accent3 2 2" xfId="238"/>
    <cellStyle name="Accent3 5" xfId="239"/>
    <cellStyle name="Accent3 5 2" xfId="240"/>
    <cellStyle name="Accent3 6" xfId="241"/>
    <cellStyle name="Accent3 7" xfId="242"/>
    <cellStyle name="Accent4" xfId="243"/>
    <cellStyle name="Accent4 5" xfId="244"/>
    <cellStyle name="Accent4 6" xfId="245"/>
    <cellStyle name="Accent6" xfId="246"/>
    <cellStyle name="Accent6 2" xfId="247"/>
    <cellStyle name="Accent6 2 2" xfId="248"/>
    <cellStyle name="Accent6 5" xfId="249"/>
    <cellStyle name="Accent6 5 2" xfId="250"/>
    <cellStyle name="Accent6 6" xfId="251"/>
    <cellStyle name="Accent6 7" xfId="252"/>
    <cellStyle name="args.style" xfId="253"/>
    <cellStyle name="args.style 2" xfId="254"/>
    <cellStyle name="Bad" xfId="255"/>
    <cellStyle name="Bad 2" xfId="256"/>
    <cellStyle name="Bad 2 2" xfId="257"/>
    <cellStyle name="Bad 5 2" xfId="258"/>
    <cellStyle name="Bad 7" xfId="259"/>
    <cellStyle name="Black" xfId="260"/>
    <cellStyle name="Blue" xfId="261"/>
    <cellStyle name="Border" xfId="262"/>
    <cellStyle name="Brand Align Left Text" xfId="263"/>
    <cellStyle name="Brand Default" xfId="264"/>
    <cellStyle name="Brand Percent" xfId="265"/>
    <cellStyle name="Brand Source" xfId="266"/>
    <cellStyle name="Brand Subtitle with Underline" xfId="267"/>
    <cellStyle name="Brand Subtitle without Underline" xfId="268"/>
    <cellStyle name="Brand Title" xfId="269"/>
    <cellStyle name="Calc Currency (0)" xfId="270"/>
    <cellStyle name="Calc Currency (0) 2" xfId="271"/>
    <cellStyle name="Calculation" xfId="272"/>
    <cellStyle name="Calculation 5" xfId="273"/>
    <cellStyle name="Calculation 5 2" xfId="274"/>
    <cellStyle name="Calculation 6" xfId="275"/>
    <cellStyle name="category" xfId="276"/>
    <cellStyle name="Check Cell" xfId="277"/>
    <cellStyle name="Check Cell 2" xfId="278"/>
    <cellStyle name="Check Cell 2 2" xfId="279"/>
    <cellStyle name="Check Cell 5" xfId="280"/>
    <cellStyle name="Check Cell 5 2" xfId="281"/>
    <cellStyle name="Check Cell 6" xfId="282"/>
    <cellStyle name="Check Cell 7" xfId="283"/>
    <cellStyle name="Col Heads" xfId="284"/>
    <cellStyle name="Column Headings" xfId="285"/>
    <cellStyle name="Column Headings 2" xfId="286"/>
    <cellStyle name="Column$Headings" xfId="287"/>
    <cellStyle name="Column$Headings 2" xfId="288"/>
    <cellStyle name="Column_Title" xfId="289"/>
    <cellStyle name="Comma  - Style1" xfId="290"/>
    <cellStyle name="Comma 2" xfId="291"/>
    <cellStyle name="Comma 2 2" xfId="292"/>
    <cellStyle name="comma zerodec" xfId="293"/>
    <cellStyle name="comma zerodec 24 12" xfId="294"/>
    <cellStyle name="Comma,0" xfId="295"/>
    <cellStyle name="Comma,1" xfId="296"/>
    <cellStyle name="Comma,2" xfId="297"/>
    <cellStyle name="Comma0 - Modelo1" xfId="298"/>
    <cellStyle name="Comma0 - Modelo1 2" xfId="299"/>
    <cellStyle name="comma-d" xfId="300"/>
    <cellStyle name="comma-d 2" xfId="301"/>
    <cellStyle name="comma-d 2 2" xfId="302"/>
    <cellStyle name="Copied" xfId="303"/>
    <cellStyle name="Copied 2" xfId="304"/>
    <cellStyle name="COST1" xfId="305"/>
    <cellStyle name="COST1 2" xfId="306"/>
    <cellStyle name="Currency [0]_ rislugp" xfId="307"/>
    <cellStyle name="Currency,0" xfId="308"/>
    <cellStyle name="Currency,2" xfId="309"/>
    <cellStyle name="Currency_ rislugp" xfId="310"/>
    <cellStyle name="Currency1" xfId="311"/>
    <cellStyle name="Currency1 10 25" xfId="312"/>
    <cellStyle name="date" xfId="313"/>
    <cellStyle name="Date 2" xfId="314"/>
    <cellStyle name="Dezimal [0]_laroux" xfId="315"/>
    <cellStyle name="Dezimal_laroux" xfId="316"/>
    <cellStyle name="Dia" xfId="317"/>
    <cellStyle name="Dia 2" xfId="318"/>
    <cellStyle name="Dollar" xfId="319"/>
    <cellStyle name="Dollar (zero dec)" xfId="320"/>
    <cellStyle name="Encabez1" xfId="321"/>
    <cellStyle name="Encabez1 2" xfId="322"/>
    <cellStyle name="Entered" xfId="323"/>
    <cellStyle name="Entered 2" xfId="324"/>
    <cellStyle name="entry" xfId="325"/>
    <cellStyle name="entry 2" xfId="326"/>
    <cellStyle name="entry box" xfId="327"/>
    <cellStyle name="entry box 2" xfId="328"/>
    <cellStyle name="Euro" xfId="329"/>
    <cellStyle name="Euro 2" xfId="330"/>
    <cellStyle name="explanation" xfId="331"/>
    <cellStyle name="explanation 2" xfId="332"/>
    <cellStyle name="Explanatory Text" xfId="333"/>
    <cellStyle name="Explanatory Text 2" xfId="334"/>
    <cellStyle name="Explanatory Text 2 2" xfId="335"/>
    <cellStyle name="Explanatory Text 5 2" xfId="336"/>
    <cellStyle name="Fixed" xfId="337"/>
    <cellStyle name="Followed Hyperlink_AheadBehind.xls Chart 23" xfId="338"/>
    <cellStyle name="Format Number Column" xfId="339"/>
    <cellStyle name="General" xfId="340"/>
    <cellStyle name="General 2" xfId="341"/>
    <cellStyle name="Good" xfId="342"/>
    <cellStyle name="Good 2" xfId="343"/>
    <cellStyle name="Good 2 2" xfId="344"/>
    <cellStyle name="Good 5 2" xfId="345"/>
    <cellStyle name="Good 7" xfId="346"/>
    <cellStyle name="Grey" xfId="347"/>
    <cellStyle name="Hardcoded 0" xfId="348"/>
    <cellStyle name="Hardcoded 0 2" xfId="349"/>
    <cellStyle name="HEADER" xfId="350"/>
    <cellStyle name="Header1" xfId="351"/>
    <cellStyle name="Header1 2" xfId="352"/>
    <cellStyle name="Header2" xfId="353"/>
    <cellStyle name="Header2 2" xfId="354"/>
    <cellStyle name="Heading 1" xfId="355"/>
    <cellStyle name="Heading 1 2" xfId="356"/>
    <cellStyle name="Heading 1 2 2" xfId="357"/>
    <cellStyle name="Heading 1 5" xfId="358"/>
    <cellStyle name="Heading 1 5 2" xfId="359"/>
    <cellStyle name="Heading 1 6" xfId="360"/>
    <cellStyle name="Heading 1 7" xfId="361"/>
    <cellStyle name="Heading 2" xfId="362"/>
    <cellStyle name="Heading 2 2" xfId="363"/>
    <cellStyle name="Heading 2 2 2" xfId="364"/>
    <cellStyle name="Heading 2 5" xfId="365"/>
    <cellStyle name="Heading 2 5 2" xfId="366"/>
    <cellStyle name="Heading 2 6" xfId="367"/>
    <cellStyle name="Heading 2 7" xfId="368"/>
    <cellStyle name="Heading 3" xfId="369"/>
    <cellStyle name="Heading 3 2" xfId="370"/>
    <cellStyle name="Heading 3 2 2" xfId="371"/>
    <cellStyle name="Heading 3 5" xfId="372"/>
    <cellStyle name="Heading 3 5 2" xfId="373"/>
    <cellStyle name="Heading 3 6" xfId="374"/>
    <cellStyle name="Heading 3 7" xfId="375"/>
    <cellStyle name="Heading 4" xfId="376"/>
    <cellStyle name="Heading 4 5" xfId="377"/>
    <cellStyle name="Heading 4 5 2" xfId="378"/>
    <cellStyle name="Heading 4 6" xfId="379"/>
    <cellStyle name="Heading 4 7" xfId="380"/>
    <cellStyle name="HEADING1" xfId="381"/>
    <cellStyle name="HEADING2" xfId="382"/>
    <cellStyle name="Hyperlink_AheadBehind.xls Chart 23" xfId="383"/>
    <cellStyle name="imp-pr-item" xfId="384"/>
    <cellStyle name="imp-pr-item 2" xfId="385"/>
    <cellStyle name="input" xfId="386"/>
    <cellStyle name="Input [yellow]" xfId="387"/>
    <cellStyle name="Input [yellow] 2" xfId="388"/>
    <cellStyle name="Input 10" xfId="389"/>
    <cellStyle name="Input 11" xfId="390"/>
    <cellStyle name="Input 13" xfId="391"/>
    <cellStyle name="Input 5 2" xfId="392"/>
    <cellStyle name="Input Cells" xfId="393"/>
    <cellStyle name="Input Cells 2" xfId="394"/>
    <cellStyle name="Input_14 业务及管理费用预算表_v1.0_090927" xfId="395"/>
    <cellStyle name="InputArea" xfId="396"/>
    <cellStyle name="InputArea 2" xfId="397"/>
    <cellStyle name="KPMG Heading 1" xfId="398"/>
    <cellStyle name="KPMG Heading 2" xfId="399"/>
    <cellStyle name="KPMG Heading 3" xfId="400"/>
    <cellStyle name="KPMG Heading 4" xfId="401"/>
    <cellStyle name="KPMG Normal" xfId="402"/>
    <cellStyle name="Lines Fill" xfId="403"/>
    <cellStyle name="Lines Fill 2" xfId="404"/>
    <cellStyle name="Linked Cell" xfId="405"/>
    <cellStyle name="Linked Cell 2" xfId="406"/>
    <cellStyle name="Linked Cell 2 2" xfId="407"/>
    <cellStyle name="Linked Cell 5 2" xfId="408"/>
    <cellStyle name="Linked Cells" xfId="409"/>
    <cellStyle name="Linked Cells 2" xfId="410"/>
    <cellStyle name="Milliers [0]_!!!GO" xfId="411"/>
    <cellStyle name="Milliers_!!!GO" xfId="412"/>
    <cellStyle name="Model" xfId="413"/>
    <cellStyle name="Moneda [0]_10 AVERIAS MASIVAS + ANT" xfId="414"/>
    <cellStyle name="Moneda_10 AVERIAS MASIVAS + ANT" xfId="415"/>
    <cellStyle name="Monétaire [0]_!!!GO" xfId="416"/>
    <cellStyle name="Monétaire_!!!GO" xfId="417"/>
    <cellStyle name="Mon閠aire [0]_!!!GO" xfId="418"/>
    <cellStyle name="Mon閠aire_!!!GO" xfId="419"/>
    <cellStyle name="N" xfId="420"/>
    <cellStyle name="N 2" xfId="421"/>
    <cellStyle name="Neutral" xfId="422"/>
    <cellStyle name="Neutral 5 2" xfId="423"/>
    <cellStyle name="Neutral 7" xfId="424"/>
    <cellStyle name="New Times Roman" xfId="425"/>
    <cellStyle name="New Times Roman 2" xfId="426"/>
    <cellStyle name="no dec" xfId="427"/>
    <cellStyle name="Non défini" xfId="428"/>
    <cellStyle name="Normal - Style1" xfId="429"/>
    <cellStyle name="Normal - Style1 2" xfId="430"/>
    <cellStyle name="Normal - Style1 2 2" xfId="431"/>
    <cellStyle name="Normal 3" xfId="432"/>
    <cellStyle name="Normal_ rislugp" xfId="433"/>
    <cellStyle name="Normalny_Arkusz1" xfId="434"/>
    <cellStyle name="Note" xfId="435"/>
    <cellStyle name="Note 2" xfId="436"/>
    <cellStyle name="Note 2 2" xfId="437"/>
    <cellStyle name="Note 5" xfId="438"/>
    <cellStyle name="Note 5 2" xfId="439"/>
    <cellStyle name="Note 6" xfId="440"/>
    <cellStyle name="Note 7" xfId="441"/>
    <cellStyle name="Notes" xfId="442"/>
    <cellStyle name="Notes 2" xfId="443"/>
    <cellStyle name="nr_label" xfId="444"/>
    <cellStyle name="Number" xfId="445"/>
    <cellStyle name="Œ…‹æØ‚è [0.00]_Region Orders (2)" xfId="446"/>
    <cellStyle name="Œ…‹æØ‚è_Region Orders (2)" xfId="447"/>
    <cellStyle name="Output" xfId="448"/>
    <cellStyle name="Output 2" xfId="449"/>
    <cellStyle name="Output 2 2" xfId="450"/>
    <cellStyle name="Output 5" xfId="451"/>
    <cellStyle name="Output 5 2" xfId="452"/>
    <cellStyle name="Output 6" xfId="453"/>
    <cellStyle name="per.style" xfId="454"/>
    <cellStyle name="Percent [2]" xfId="455"/>
    <cellStyle name="Percent 2" xfId="456"/>
    <cellStyle name="Percent_!!!GO" xfId="457"/>
    <cellStyle name="PillarData" xfId="458"/>
    <cellStyle name="PillarData 2" xfId="459"/>
    <cellStyle name="PillarHeading" xfId="460"/>
    <cellStyle name="PillarHeading 2" xfId="461"/>
    <cellStyle name="PillarTotal" xfId="462"/>
    <cellStyle name="PillarTotal 2" xfId="463"/>
    <cellStyle name="Pourcentage_pldt" xfId="464"/>
    <cellStyle name="Prefilled" xfId="465"/>
    <cellStyle name="Prefilled 2" xfId="466"/>
    <cellStyle name="Preisliste" xfId="467"/>
    <cellStyle name="PreisŬiste_06年分公司司收入测算v2" xfId="468"/>
    <cellStyle name="price" xfId="469"/>
    <cellStyle name="pricing" xfId="470"/>
    <cellStyle name="PSChar" xfId="471"/>
    <cellStyle name="PSChar 2" xfId="472"/>
    <cellStyle name="PSDate" xfId="473"/>
    <cellStyle name="PSDec" xfId="474"/>
    <cellStyle name="PSHeading" xfId="475"/>
    <cellStyle name="PSInt" xfId="476"/>
    <cellStyle name="PSSpacer" xfId="477"/>
    <cellStyle name="Red" xfId="478"/>
    <cellStyle name="revised" xfId="479"/>
    <cellStyle name="RevList" xfId="480"/>
    <cellStyle name="RevList 2" xfId="481"/>
    <cellStyle name="RM" xfId="482"/>
    <cellStyle name="row_def_array" xfId="483"/>
    <cellStyle name="section" xfId="484"/>
    <cellStyle name="section 2" xfId="485"/>
    <cellStyle name="Sheet Head" xfId="486"/>
    <cellStyle name="Sheet Head 2" xfId="487"/>
    <cellStyle name="simpletitle" xfId="488"/>
    <cellStyle name="simpletitle 2" xfId="489"/>
    <cellStyle name="sMECfcE101A" xfId="490"/>
    <cellStyle name="sMECfd101B" xfId="491"/>
    <cellStyle name="sMECfd101B 2" xfId="492"/>
    <cellStyle name="sMECfN101A" xfId="493"/>
    <cellStyle name="sMECfN102A" xfId="494"/>
    <cellStyle name="sMECftC101A" xfId="495"/>
    <cellStyle name="sMECftE101A" xfId="496"/>
    <cellStyle name="sstot" xfId="497"/>
    <cellStyle name="ST_06" xfId="498"/>
    <cellStyle name="style" xfId="499"/>
    <cellStyle name="style 2" xfId="500"/>
    <cellStyle name="style1" xfId="501"/>
    <cellStyle name="style1 2" xfId="502"/>
    <cellStyle name="style2" xfId="503"/>
    <cellStyle name="style2 2" xfId="504"/>
    <cellStyle name="subhead" xfId="505"/>
    <cellStyle name="Subtotal" xfId="506"/>
    <cellStyle name="TableStyleLight1" xfId="507"/>
    <cellStyle name="title" xfId="508"/>
    <cellStyle name="Title 2" xfId="509"/>
    <cellStyle name="Title 2 2" xfId="510"/>
    <cellStyle name="Title 5" xfId="511"/>
    <cellStyle name="Title 5 2" xfId="512"/>
    <cellStyle name="Title 6" xfId="513"/>
    <cellStyle name="Title 7" xfId="514"/>
    <cellStyle name="Total" xfId="515"/>
    <cellStyle name="Total 5" xfId="516"/>
    <cellStyle name="Total 5 2" xfId="517"/>
    <cellStyle name="Total 6" xfId="518"/>
    <cellStyle name="Total 7" xfId="519"/>
    <cellStyle name="Total 8" xfId="520"/>
    <cellStyle name="Warning Text" xfId="521"/>
    <cellStyle name="Warning Text 2" xfId="522"/>
    <cellStyle name="Warning Text 2 2" xfId="523"/>
    <cellStyle name="Warning Text 5 2" xfId="524"/>
    <cellStyle name="xj" xfId="525"/>
    <cellStyle name="パーセント_laroux" xfId="526"/>
    <cellStyle name="〰ⴰ2渀欀" xfId="527"/>
    <cellStyle name="〰ⴰ2渀欀 2" xfId="528"/>
    <cellStyle name="_laroux" xfId="529"/>
    <cellStyle name="だ_laroux" xfId="530"/>
    <cellStyle name="百分比 10" xfId="531"/>
    <cellStyle name="百分比 12 5" xfId="532"/>
    <cellStyle name="百分比 16" xfId="533"/>
    <cellStyle name="百分比 2" xfId="534"/>
    <cellStyle name="百分比 2 10" xfId="535"/>
    <cellStyle name="百分比 2 15" xfId="536"/>
    <cellStyle name="百分比 2 16" xfId="537"/>
    <cellStyle name="百分比 2 2" xfId="538"/>
    <cellStyle name="百分比 2 3 3" xfId="539"/>
    <cellStyle name="百分比 3" xfId="540"/>
    <cellStyle name="百分比 3 2 3" xfId="541"/>
    <cellStyle name="捠壿 [0.00]_PRODUCT DETAIL Q1" xfId="542"/>
    <cellStyle name="编号" xfId="543"/>
    <cellStyle name="标题 1 2" xfId="544"/>
    <cellStyle name="标题 11" xfId="545"/>
    <cellStyle name="标题 2 2" xfId="546"/>
    <cellStyle name="标题 3 2" xfId="547"/>
    <cellStyle name="标题 4 2" xfId="548"/>
    <cellStyle name="标题 5" xfId="549"/>
    <cellStyle name="标题1" xfId="550"/>
    <cellStyle name="標準_１１月価格表" xfId="551"/>
    <cellStyle name="部门" xfId="552"/>
    <cellStyle name="差 2" xfId="553"/>
    <cellStyle name="差_2011年1-5月财务部归口部门费用完成情况" xfId="554"/>
    <cellStyle name="差_2011年1-5月财务部归口部门费用完成情况 2" xfId="555"/>
    <cellStyle name="差_给财务数据" xfId="556"/>
    <cellStyle name="差_全区" xfId="557"/>
    <cellStyle name="差_运营公司完成情况表_1" xfId="558"/>
    <cellStyle name="差_专项表-改善条件" xfId="559"/>
    <cellStyle name="差_专项表-改善条件 2" xfId="560"/>
    <cellStyle name="常规 10 10 2" xfId="561"/>
    <cellStyle name="常规 10 12" xfId="562"/>
    <cellStyle name="常规 10 13" xfId="563"/>
    <cellStyle name="常规 10 16" xfId="564"/>
    <cellStyle name="常规 10 19" xfId="565"/>
    <cellStyle name="常规 10 25" xfId="566"/>
    <cellStyle name="常规 101 2" xfId="567"/>
    <cellStyle name="常规 104" xfId="568"/>
    <cellStyle name="常规 12" xfId="569"/>
    <cellStyle name="常规 12_2、小前台PAD版开发计划_2 2" xfId="570"/>
    <cellStyle name="常规 125 2" xfId="571"/>
    <cellStyle name="常规 125 2 4" xfId="572"/>
    <cellStyle name="常规 132" xfId="573"/>
    <cellStyle name="常规 14 2 14" xfId="574"/>
    <cellStyle name="常规 15 11 14" xfId="575"/>
    <cellStyle name="常规 17 2 7" xfId="576"/>
    <cellStyle name="常规 2" xfId="577"/>
    <cellStyle name="常规 2 2" xfId="578"/>
    <cellStyle name="常规 2 2 16" xfId="579"/>
    <cellStyle name="常规 2 2 2 2 2 15" xfId="580"/>
    <cellStyle name="常规 2 2 92" xfId="581"/>
    <cellStyle name="常规 2 3 32" xfId="582"/>
    <cellStyle name="常规 2 5 2" xfId="583"/>
    <cellStyle name="常规 2 6 2" xfId="584"/>
    <cellStyle name="常规 2 6 4" xfId="585"/>
    <cellStyle name="常规 2 6 4 3" xfId="586"/>
    <cellStyle name="常规 2 6 4 5" xfId="587"/>
    <cellStyle name="常规 22 2 5" xfId="588"/>
    <cellStyle name="常规 27 7" xfId="589"/>
    <cellStyle name="常规 3 9" xfId="590"/>
    <cellStyle name="常规 4 2 2 28" xfId="591"/>
    <cellStyle name="常规 4 2 3 2" xfId="592"/>
    <cellStyle name="常规 4 2 42" xfId="593"/>
    <cellStyle name="常规 4 2 43" xfId="594"/>
    <cellStyle name="常规 4 24" xfId="595"/>
    <cellStyle name="常规 4 3 17" xfId="596"/>
    <cellStyle name="常规 5" xfId="597"/>
    <cellStyle name="常规 6 26 2" xfId="598"/>
    <cellStyle name="常规 9 17" xfId="599"/>
    <cellStyle name="常规 94" xfId="600"/>
    <cellStyle name="超级链接_(10-30)需修改表格" xfId="601"/>
    <cellStyle name="超链接 10" xfId="602"/>
    <cellStyle name="超链接 2 2" xfId="603"/>
    <cellStyle name="超链接 2 3" xfId="604"/>
    <cellStyle name="超链接 2 4" xfId="605"/>
    <cellStyle name="超链接 2 5" xfId="606"/>
    <cellStyle name="超链接 2 6" xfId="607"/>
    <cellStyle name="分级显示列_1_Book1" xfId="608"/>
    <cellStyle name="分级显示列1_Module" xfId="609"/>
    <cellStyle name="分级显示行_1_4附件二凯旋评估表" xfId="610"/>
    <cellStyle name="公司标准表" xfId="611"/>
    <cellStyle name="公司标准表 2" xfId="612"/>
    <cellStyle name="规划表格" xfId="613"/>
    <cellStyle name="规划表格 2" xfId="614"/>
    <cellStyle name="好 2" xfId="615"/>
    <cellStyle name="好_2011年1-5月财务部归口部门费用完成情况" xfId="616"/>
    <cellStyle name="好_2011年1-5月财务部归口部门费用完成情况 2" xfId="617"/>
    <cellStyle name="好_2011年未启动项目" xfId="618"/>
    <cellStyle name="好_2011年未启动项目 2" xfId="619"/>
    <cellStyle name="好_给财务数据" xfId="620"/>
    <cellStyle name="好_全区" xfId="621"/>
    <cellStyle name="好_运营公司完成情况表_1" xfId="622"/>
    <cellStyle name="好_专项表-改善条件" xfId="623"/>
    <cellStyle name="好_专项表-改善条件 2" xfId="624"/>
    <cellStyle name="桁区切り [0.00]_１１月価格表" xfId="625"/>
    <cellStyle name="后继超级链接_2001年12月定单余额表" xfId="626"/>
    <cellStyle name="后继超链接" xfId="627"/>
    <cellStyle name="后继超链接 2" xfId="628"/>
    <cellStyle name="汇总 2" xfId="629"/>
    <cellStyle name="货币 2 10" xfId="630"/>
    <cellStyle name="货币 2 2 2" xfId="631"/>
    <cellStyle name="货币 2 3" xfId="632"/>
    <cellStyle name="计算 2" xfId="633"/>
    <cellStyle name="检查单元格 2" xfId="634"/>
    <cellStyle name="解释性文本 2" xfId="635"/>
    <cellStyle name="借出原因" xfId="636"/>
    <cellStyle name="警告文本 2" xfId="637"/>
    <cellStyle name="链接单元格 2" xfId="638"/>
    <cellStyle name="霓付 [0]_1202" xfId="639"/>
    <cellStyle name="霓付_1202" xfId="640"/>
    <cellStyle name="烹拳 [0]_1202" xfId="641"/>
    <cellStyle name="烹拳_1202" xfId="642"/>
    <cellStyle name="千分位_ 白土" xfId="643"/>
    <cellStyle name="千位分隔 10" xfId="644"/>
    <cellStyle name="千位分隔 11" xfId="645"/>
    <cellStyle name="千位分隔 11 2 2" xfId="646"/>
    <cellStyle name="千位分隔 16" xfId="647"/>
    <cellStyle name="千位分隔 17" xfId="648"/>
    <cellStyle name="千位分隔 18" xfId="649"/>
    <cellStyle name="千位分隔 19 5" xfId="650"/>
    <cellStyle name="千位分隔 2" xfId="651"/>
    <cellStyle name="千位分隔 2 10" xfId="652"/>
    <cellStyle name="千位分隔 2 16" xfId="653"/>
    <cellStyle name="千位分隔 2 2" xfId="654"/>
    <cellStyle name="千位分隔 2 2 11" xfId="655"/>
    <cellStyle name="千位分隔 2 2 2 2" xfId="656"/>
    <cellStyle name="千位分隔 2 4" xfId="657"/>
    <cellStyle name="千位分隔 2 48 4" xfId="658"/>
    <cellStyle name="千位分隔 3 24" xfId="659"/>
    <cellStyle name="千位分隔 8 5 5" xfId="660"/>
    <cellStyle name="千位分隔[0] 10" xfId="661"/>
    <cellStyle name="千位分隔[0] 2" xfId="662"/>
    <cellStyle name="千位分隔[0] 2 2" xfId="663"/>
    <cellStyle name="千位分隔[0] 3 2" xfId="664"/>
    <cellStyle name="千位分隔[0] 6" xfId="665"/>
    <cellStyle name="钎霖_(沥焊何巩)岿喊牢盔拌裙" xfId="666"/>
    <cellStyle name="日期" xfId="667"/>
    <cellStyle name="商品名称" xfId="668"/>
    <cellStyle name="适中 2" xfId="669"/>
    <cellStyle name="适中 8" xfId="670"/>
    <cellStyle name="输出 2" xfId="671"/>
    <cellStyle name="输入 2" xfId="672"/>
    <cellStyle name="数量" xfId="673"/>
    <cellStyle name="通貨 [0.00]_１１月価格表" xfId="674"/>
    <cellStyle name="通貨_１１月価格表" xfId="675"/>
    <cellStyle name="小计" xfId="676"/>
    <cellStyle name="小计 2" xfId="677"/>
    <cellStyle name="已访问的超链接 10" xfId="678"/>
    <cellStyle name="昗弨_BOOKSHIP" xfId="679"/>
    <cellStyle name="寘嬫愗傝 [0.00]_PRODUCT DETAIL Q1" xfId="680"/>
    <cellStyle name="寘嬫愗傝_PRODUCT DETAIL Q1" xfId="681"/>
    <cellStyle name="注释 2" xfId="682"/>
    <cellStyle name="资产" xfId="683"/>
    <cellStyle name="콤마 [0]_BOILER-CO1" xfId="684"/>
    <cellStyle name="콤마_BOILER-CO1" xfId="685"/>
    <cellStyle name="표준_0N-HANDLING " xfId="686"/>
  </cellStyles>
  <tableStyles count="0" defaultTableStyle="TableStyleMedium2" defaultPivotStyle="PivotStyleLight16"/>
  <colors>
    <mruColors>
      <color rgb="0066FFFF"/>
      <color rgb="0099FF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guoxiaole.nx@chinatelecom.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X89"/>
  <sheetViews>
    <sheetView tabSelected="1" view="pageBreakPreview" zoomScaleNormal="85" workbookViewId="0">
      <selection activeCell="I12" sqref="I12"/>
    </sheetView>
  </sheetViews>
  <sheetFormatPr defaultColWidth="16.5" defaultRowHeight="21.75" customHeight="1"/>
  <cols>
    <col min="1" max="1" width="5.375" style="137" customWidth="1"/>
    <col min="2" max="2" width="9.875" style="137" customWidth="1"/>
    <col min="3" max="3" width="11.5" style="137" customWidth="1"/>
    <col min="4" max="4" width="23.125" style="137" customWidth="1"/>
    <col min="5" max="5" width="29.5" style="137" customWidth="1"/>
    <col min="6" max="6" width="10.5" style="137" customWidth="1"/>
    <col min="7" max="7" width="12.625" style="137" customWidth="1"/>
    <col min="8" max="8" width="9.875" style="137" customWidth="1"/>
    <col min="9" max="9" width="13" style="137" customWidth="1"/>
    <col min="10" max="11" width="10.5" style="137" customWidth="1"/>
    <col min="12" max="12" width="13" style="137" customWidth="1"/>
    <col min="13" max="13" width="10.5" style="137" customWidth="1"/>
    <col min="14" max="14" width="12.5" style="137" customWidth="1"/>
    <col min="15" max="15" width="10.5" style="137" customWidth="1"/>
    <col min="16" max="16" width="10.5" style="153" customWidth="1"/>
    <col min="17" max="17" width="8" style="153" customWidth="1"/>
    <col min="18" max="18" width="18.125" style="153" customWidth="1"/>
    <col min="19" max="19" width="20.625" style="153" customWidth="1"/>
    <col min="20" max="20" width="9.375" style="137" customWidth="1"/>
    <col min="21" max="21" width="17.625" style="137" customWidth="1"/>
    <col min="22" max="22" width="51.875" style="137" customWidth="1"/>
    <col min="23" max="16384" width="16.5" style="137"/>
  </cols>
  <sheetData>
    <row r="1" s="151" customFormat="1" ht="30" customHeight="1" spans="1:24">
      <c r="A1" s="155" t="s">
        <v>0</v>
      </c>
      <c r="B1" s="155"/>
      <c r="C1" s="155"/>
      <c r="D1" s="155"/>
      <c r="E1" s="155"/>
      <c r="F1" s="156"/>
      <c r="G1" s="156"/>
      <c r="H1" s="156"/>
      <c r="I1" s="155"/>
      <c r="J1" s="155"/>
      <c r="K1" s="157" t="str">
        <f>"-软件开发工作量评估清单"</f>
        <v>-软件开发工作量评估清单</v>
      </c>
      <c r="L1" s="157"/>
      <c r="M1" s="157"/>
      <c r="N1" s="157"/>
      <c r="O1" s="157"/>
      <c r="P1" s="157"/>
      <c r="Q1" s="157"/>
      <c r="R1" s="157"/>
      <c r="S1" s="157"/>
      <c r="T1" s="158">
        <v>13</v>
      </c>
      <c r="U1" s="159" t="str">
        <f t="array" ref="U1">IFERROR(INDEX($R$10:$R$463,1+MATCH(,COUNTIF(#REF!,$R$11:$R$463),))&amp;"","")</f>
        <v/>
      </c>
      <c r="V1" s="160" t="str">
        <f t="array" ref="V1">IF(U1="","",_xlfn.TEXTJOIN(",",1,IF($C$11:$C$463&lt;&gt;"",IF($R$11:$R$463=$U1,$C$11:$C$463,""),"")))</f>
        <v/>
      </c>
      <c r="W1" s="160" t="str">
        <f t="shared" ref="W1:W18" si="0">IF($U1="","",ROUND(SUMIF($R$11:$R$463,$U1,$N$11:$N$463)*$O$6,2))</f>
        <v/>
      </c>
      <c r="X1" s="137"/>
    </row>
    <row r="2" s="116" customFormat="1" ht="30" customHeight="1" spans="1:24">
      <c r="A2" s="161" t="s">
        <v>1</v>
      </c>
      <c r="B2" s="161"/>
      <c r="C2" s="162" t="s">
        <v>2</v>
      </c>
      <c r="D2" s="163" t="s">
        <v>3</v>
      </c>
      <c r="E2" s="164" t="s">
        <v>0</v>
      </c>
      <c r="F2" s="165"/>
      <c r="G2" s="165"/>
      <c r="H2" s="161" t="s">
        <v>4</v>
      </c>
      <c r="I2" s="166"/>
      <c r="J2" s="161"/>
      <c r="K2" s="166"/>
      <c r="L2" s="166"/>
      <c r="M2" s="161" t="s">
        <v>5</v>
      </c>
      <c r="N2" s="167" t="s">
        <v>6</v>
      </c>
      <c r="O2" s="166"/>
      <c r="P2" s="166"/>
      <c r="Q2" s="168"/>
      <c r="R2" s="168"/>
      <c r="S2" s="168"/>
      <c r="T2" s="158">
        <v>14</v>
      </c>
      <c r="U2" s="159" t="str">
        <f t="array" ref="U2">IFERROR(INDEX($R$10:$R$463,1+MATCH(,COUNTIF(U$1:U1,$R$11:$R$463),))&amp;"","")</f>
        <v>AI视频平台私有化部署</v>
      </c>
      <c r="V2" s="160" t="str">
        <f t="array" ref="V2">IF(U2="","",_xlfn.TEXTJOIN(",",1,IF($C$11:$C$463&lt;&gt;"",IF($R$11:$R$463=$U2,$C$11:$C$463,""),"")))</f>
        <v>环境部署,视频剪辑制作,多人协作,素材管理,项目管理审批,用户管理,运维管理,安全加固测试,OPC创业注册服务,订单管理模块,结算管理与合作分成</v>
      </c>
      <c r="W2" s="160">
        <f t="shared" si="0"/>
        <v>0</v>
      </c>
      <c r="X2" s="137"/>
    </row>
    <row r="3" s="116" customFormat="1" ht="30" customHeight="1" spans="1:24">
      <c r="A3" s="117" t="s">
        <v>7</v>
      </c>
      <c r="B3" s="117" t="s">
        <v>8</v>
      </c>
      <c r="C3" s="117" t="s">
        <v>9</v>
      </c>
      <c r="D3" s="117" t="s">
        <v>10</v>
      </c>
      <c r="E3" s="117" t="s">
        <v>11</v>
      </c>
      <c r="F3" s="117" t="s">
        <v>12</v>
      </c>
      <c r="G3" s="117"/>
      <c r="H3" s="117"/>
      <c r="I3" s="117"/>
      <c r="J3" s="117"/>
      <c r="K3" s="117" t="s">
        <v>13</v>
      </c>
      <c r="L3" s="117"/>
      <c r="M3" s="117"/>
      <c r="N3" s="117"/>
      <c r="O3" s="117"/>
      <c r="P3" s="117" t="s">
        <v>14</v>
      </c>
      <c r="Q3" s="169"/>
      <c r="R3" s="169"/>
      <c r="S3" s="169"/>
      <c r="T3" s="158">
        <v>15</v>
      </c>
      <c r="U3" s="159" t="str">
        <f t="array" ref="U3">IFERROR(INDEX($R$10:$R$463,1+MATCH(,COUNTIF(U$1:U2,$R$11:$R$463),))&amp;"","")</f>
        <v/>
      </c>
      <c r="V3" s="160" t="str">
        <f t="array" ref="V3">IF(U3="","",_xlfn.TEXTJOIN(",",1,IF($C$11:$C$463&lt;&gt;"",IF($R$11:$R$463=$U3,$C$11:$C$463,""),"")))</f>
        <v/>
      </c>
      <c r="W3" s="160" t="str">
        <f t="shared" si="0"/>
        <v/>
      </c>
      <c r="X3" s="137"/>
    </row>
    <row r="4" s="152" customFormat="1" ht="50.1" customHeight="1" spans="1:24">
      <c r="A4" s="117"/>
      <c r="B4" s="117" t="s">
        <v>8</v>
      </c>
      <c r="C4" s="117" t="s">
        <v>9</v>
      </c>
      <c r="D4" s="117" t="s">
        <v>10</v>
      </c>
      <c r="E4" s="117" t="s">
        <v>11</v>
      </c>
      <c r="F4" s="117" t="s">
        <v>15</v>
      </c>
      <c r="G4" s="117" t="s">
        <v>16</v>
      </c>
      <c r="H4" s="117" t="s">
        <v>17</v>
      </c>
      <c r="I4" s="117" t="s">
        <v>18</v>
      </c>
      <c r="J4" s="117" t="s">
        <v>19</v>
      </c>
      <c r="K4" s="117" t="s">
        <v>15</v>
      </c>
      <c r="L4" s="117" t="s">
        <v>16</v>
      </c>
      <c r="M4" s="117" t="s">
        <v>17</v>
      </c>
      <c r="N4" s="117" t="s">
        <v>18</v>
      </c>
      <c r="O4" s="117" t="s">
        <v>19</v>
      </c>
      <c r="P4" s="117"/>
      <c r="Q4" s="169"/>
      <c r="R4" s="169"/>
      <c r="S4" s="169"/>
      <c r="T4" s="158">
        <v>16</v>
      </c>
      <c r="U4" s="159" t="str">
        <f t="array" ref="U4">IFERROR(INDEX($R$10:$R$463,1+MATCH(,COUNTIF(U$1:U3,$R$11:$R$463),))&amp;"","")</f>
        <v/>
      </c>
      <c r="V4" s="160" t="str">
        <f t="array" ref="V4">IF(U4="","",_xlfn.TEXTJOIN(",",1,IF($C$11:$C$463&lt;&gt;"",IF($R$11:$R$463=$U4,$C$11:$C$463,""),"")))</f>
        <v/>
      </c>
      <c r="W4" s="160" t="str">
        <f t="shared" si="0"/>
        <v/>
      </c>
      <c r="X4" s="137"/>
    </row>
    <row r="5" s="116" customFormat="1" ht="34.5" customHeight="1" spans="1:24">
      <c r="A5" s="170" t="s">
        <v>20</v>
      </c>
      <c r="B5" s="170"/>
      <c r="C5" s="170"/>
      <c r="D5" s="170"/>
      <c r="E5" s="170"/>
      <c r="F5" s="170"/>
      <c r="G5" s="170"/>
      <c r="H5" s="170"/>
      <c r="I5" s="171"/>
      <c r="J5" s="171"/>
      <c r="K5" s="171"/>
      <c r="L5" s="171"/>
      <c r="M5" s="171"/>
      <c r="N5" s="171"/>
      <c r="O5" s="172"/>
      <c r="P5" s="171"/>
      <c r="Q5" s="173"/>
      <c r="R5" s="173"/>
      <c r="S5" s="173"/>
      <c r="T5" s="158">
        <v>17</v>
      </c>
      <c r="U5" s="159" t="str">
        <f t="array" ref="U5">IFERROR(INDEX($R$10:$R$463,1+MATCH(,COUNTIF(U$1:U4,$R$11:$R$463),))&amp;"","")</f>
        <v/>
      </c>
      <c r="V5" s="160" t="str">
        <f t="array" ref="V5">IF(U5="","",_xlfn.TEXTJOIN(",",1,IF($C$11:$C$463&lt;&gt;"",IF($R$11:$R$463=$U5,$C$11:$C$463,""),"")))</f>
        <v/>
      </c>
      <c r="W5" s="160" t="str">
        <f t="shared" si="0"/>
        <v/>
      </c>
      <c r="X5" s="137"/>
    </row>
    <row r="6" s="153" customFormat="1" ht="16.5" customHeight="1" spans="1:24">
      <c r="A6" s="18">
        <v>0</v>
      </c>
      <c r="B6" s="18" t="s">
        <v>21</v>
      </c>
      <c r="C6" s="18" t="s">
        <v>22</v>
      </c>
      <c r="D6" s="18"/>
      <c r="E6" s="19" t="s">
        <v>23</v>
      </c>
      <c r="F6" s="19"/>
      <c r="G6" s="19"/>
      <c r="H6" s="19"/>
      <c r="I6" s="174">
        <v>3</v>
      </c>
      <c r="J6" s="124" t="s">
        <v>24</v>
      </c>
      <c r="K6" s="175" t="s">
        <v>25</v>
      </c>
      <c r="L6" s="176" t="s">
        <v>26</v>
      </c>
      <c r="M6" s="177"/>
      <c r="N6" s="19">
        <f>VLOOKUP($L6,工作量标准!$C:$D,2,0)</f>
        <v>5</v>
      </c>
      <c r="O6" s="129"/>
      <c r="P6" s="178"/>
      <c r="T6" s="158">
        <v>18</v>
      </c>
      <c r="U6" s="159" t="str">
        <f t="array" ref="U6">IFERROR(INDEX($R$10:$R$463,1+MATCH(,COUNTIF(U$1:U5,$R$11:$R$463),))&amp;"","")</f>
        <v/>
      </c>
      <c r="V6" s="160" t="str">
        <f t="array" ref="V6">IF(U6="","",_xlfn.TEXTJOIN(",",1,IF($C$11:$C$463&lt;&gt;"",IF($R$11:$R$463=$U6,$C$11:$C$463,""),"")))</f>
        <v/>
      </c>
      <c r="W6" s="160" t="str">
        <f t="shared" si="0"/>
        <v/>
      </c>
      <c r="X6" s="137"/>
    </row>
    <row r="7" s="153" customFormat="1" ht="16.5" customHeight="1" spans="1:24">
      <c r="A7" s="18"/>
      <c r="B7" s="18"/>
      <c r="C7" s="18" t="s">
        <v>27</v>
      </c>
      <c r="D7" s="18"/>
      <c r="E7" s="19" t="s">
        <v>28</v>
      </c>
      <c r="F7" s="19"/>
      <c r="G7" s="19"/>
      <c r="H7" s="19"/>
      <c r="I7" s="174">
        <v>2</v>
      </c>
      <c r="J7" s="131"/>
      <c r="K7" s="175" t="s">
        <v>29</v>
      </c>
      <c r="L7" s="176" t="s">
        <v>30</v>
      </c>
      <c r="M7" s="177"/>
      <c r="N7" s="19">
        <f>VLOOKUP($L7,工作量标准!$C:$D,2,0)</f>
        <v>4</v>
      </c>
      <c r="O7" s="129"/>
      <c r="P7" s="178"/>
      <c r="T7" s="158">
        <v>19</v>
      </c>
      <c r="U7" s="159" t="str">
        <f t="array" ref="U7">IFERROR(INDEX($R$10:$R$463,1+MATCH(,COUNTIF(U$1:U6,$R$11:$R$463),))&amp;"","")</f>
        <v/>
      </c>
      <c r="V7" s="160" t="str">
        <f t="array" ref="V7">IF(U7="","",_xlfn.TEXTJOIN(",",1,IF($C$11:$C$463&lt;&gt;"",IF($R$11:$R$463=$U7,$C$11:$C$463,""),"")))</f>
        <v/>
      </c>
      <c r="W7" s="160" t="str">
        <f t="shared" si="0"/>
        <v/>
      </c>
      <c r="X7" s="137"/>
    </row>
    <row r="8" s="153" customFormat="1" ht="16.5" customHeight="1" spans="1:24">
      <c r="A8" s="18"/>
      <c r="B8" s="18"/>
      <c r="C8" s="18" t="s">
        <v>31</v>
      </c>
      <c r="D8" s="18"/>
      <c r="E8" s="19" t="s">
        <v>32</v>
      </c>
      <c r="F8" s="19"/>
      <c r="G8" s="19"/>
      <c r="H8" s="19"/>
      <c r="I8" s="19">
        <f>ROUND($I$10*1%,0)</f>
        <v>0</v>
      </c>
      <c r="J8" s="131"/>
      <c r="K8" s="175" t="s">
        <v>33</v>
      </c>
      <c r="L8" s="176" t="s">
        <v>34</v>
      </c>
      <c r="M8" s="177"/>
      <c r="N8" s="19">
        <v>4</v>
      </c>
      <c r="O8" s="129"/>
      <c r="P8" s="178"/>
      <c r="T8" s="158">
        <v>20</v>
      </c>
      <c r="U8" s="159" t="str">
        <f t="array" ref="U8">IFERROR(INDEX($R$10:$R$463,1+MATCH(,COUNTIF(U$1:U7,$R$11:$R$463),))&amp;"","")</f>
        <v/>
      </c>
      <c r="V8" s="160" t="str">
        <f t="array" ref="V8">IF(U8="","",_xlfn.TEXTJOIN(",",1,IF($C$11:$C$463&lt;&gt;"",IF($R$11:$R$463=$U8,$C$11:$C$463,""),"")))</f>
        <v/>
      </c>
      <c r="W8" s="160" t="str">
        <f t="shared" si="0"/>
        <v/>
      </c>
      <c r="X8" s="137"/>
    </row>
    <row r="9" s="153" customFormat="1" ht="16.5" customHeight="1" spans="1:24">
      <c r="A9" s="18"/>
      <c r="B9" s="18"/>
      <c r="C9" s="18" t="s">
        <v>35</v>
      </c>
      <c r="D9" s="18"/>
      <c r="E9" s="19" t="s">
        <v>36</v>
      </c>
      <c r="F9" s="19"/>
      <c r="G9" s="19"/>
      <c r="H9" s="19"/>
      <c r="I9" s="174">
        <v>1</v>
      </c>
      <c r="J9" s="132"/>
      <c r="K9" s="175" t="s">
        <v>37</v>
      </c>
      <c r="L9" s="176" t="s">
        <v>38</v>
      </c>
      <c r="M9" s="177"/>
      <c r="N9" s="19">
        <v>4</v>
      </c>
      <c r="O9" s="129"/>
      <c r="P9" s="178"/>
      <c r="T9" s="158">
        <v>21</v>
      </c>
      <c r="U9" s="159" t="str">
        <f t="array" ref="U9">IFERROR(INDEX($R$10:$R$463,1+MATCH(,COUNTIF(U$1:U8,$R$11:$R$463),))&amp;"","")</f>
        <v/>
      </c>
      <c r="V9" s="160" t="str">
        <f t="array" ref="V9">IF(U9="","",_xlfn.TEXTJOIN(",",1,IF($C$11:$C$463&lt;&gt;"",IF($R$11:$R$463=$U9,$C$11:$C$463,""),"")))</f>
        <v/>
      </c>
      <c r="W9" s="160" t="str">
        <f t="shared" si="0"/>
        <v/>
      </c>
      <c r="X9" s="137"/>
    </row>
    <row r="10" s="154" customFormat="1" ht="29.25" customHeight="1" spans="1:24">
      <c r="A10" s="179"/>
      <c r="B10" s="180">
        <f t="array" ref="B10">SUM(IFERROR(1/COUNTIFS(B$11:B$4963,"&lt;&gt;",B$11:B$4963,B$11:B$4963),))</f>
        <v>1</v>
      </c>
      <c r="C10" s="180">
        <f t="array" ref="C10">SUM(IFERROR(1/COUNTIFS(C$11:C$4963,"&lt;&gt;",C$11:C$4963,C$11:C$4963),))</f>
        <v>11</v>
      </c>
      <c r="D10" s="180">
        <f t="array" ref="D10">SUM(IFERROR(1/COUNTIFS(D$11:D$4963,"&lt;&gt;",D$11:D$4963,D$11:D$4963),))</f>
        <v>79</v>
      </c>
      <c r="E10" s="144" t="s">
        <v>39</v>
      </c>
      <c r="F10" s="144"/>
      <c r="G10" s="144"/>
      <c r="H10" s="144"/>
      <c r="I10" s="171"/>
      <c r="J10" s="171"/>
      <c r="K10" s="181"/>
      <c r="L10" s="181"/>
      <c r="M10" s="181"/>
      <c r="N10" s="171"/>
      <c r="O10" s="171"/>
      <c r="P10" s="171"/>
      <c r="Q10" s="173"/>
      <c r="R10" s="173"/>
      <c r="S10" s="173"/>
      <c r="T10" s="158">
        <v>22</v>
      </c>
      <c r="U10" s="159" t="str">
        <f t="array" ref="U10">IFERROR(INDEX($R$10:$R$463,1+MATCH(,COUNTIF(U$1:U9,$R$11:$R$463),))&amp;"","")</f>
        <v/>
      </c>
      <c r="V10" s="160" t="str">
        <f t="array" ref="V10">IF(U10="","",_xlfn.TEXTJOIN(",",1,IF($C$11:$C$463&lt;&gt;"",IF($R$11:$R$463=$U10,$C$11:$C$463,""),"")))</f>
        <v/>
      </c>
      <c r="W10" s="160" t="str">
        <f t="shared" si="0"/>
        <v/>
      </c>
      <c r="X10" s="137"/>
    </row>
    <row r="11" customHeight="1" spans="1:24">
      <c r="A11" s="129">
        <v>1</v>
      </c>
      <c r="B11" s="182" t="s">
        <v>40</v>
      </c>
      <c r="C11" s="182" t="s">
        <v>41</v>
      </c>
      <c r="D11" s="183" t="s">
        <v>42</v>
      </c>
      <c r="E11" s="183" t="s">
        <v>43</v>
      </c>
      <c r="F11" s="129" t="s">
        <v>44</v>
      </c>
      <c r="G11" s="129" t="s">
        <v>45</v>
      </c>
      <c r="H11" s="178" t="s">
        <v>46</v>
      </c>
      <c r="I11" s="129">
        <f>IFERROR(VLOOKUP(G11,工作量标准!$C:$D,2,0)*IF(IFERROR(FIND("A级",H11),0)&gt;0,1,IF(IFERROR(FIND("B级",H11),0)&gt;0,3,IF(IFERROR(FIND("C级",H11),0)&gt;0,5,IF(IFERROR(FIND("D级",H11),0)&gt;0,8,1)))),"")</f>
        <v>5</v>
      </c>
      <c r="J11" s="129" t="str">
        <f>IFERROR(ROUND(I11*#REF!/10000,2),"")</f>
        <v/>
      </c>
      <c r="K11" s="184" t="s">
        <v>44</v>
      </c>
      <c r="L11" s="184" t="s">
        <v>45</v>
      </c>
      <c r="M11" s="184" t="s">
        <v>47</v>
      </c>
      <c r="N11" s="129">
        <f>IFERROR(VLOOKUP(L11,工作量标准!$C:$D,2,0)*IF(IFERROR(FIND("A级",M11),0)&gt;0,1,IF(IFERROR(FIND("B级",M11),0)&gt;0,3,IF(IFERROR(FIND("C级",M11),0)&gt;0,5,IF(IFERROR(FIND("D级",M11),0)&gt;0,8,1)))),"")</f>
        <v>3</v>
      </c>
      <c r="O11" s="129"/>
      <c r="P11" s="178"/>
      <c r="Q11" s="153">
        <f>I11-N11</f>
        <v>2</v>
      </c>
      <c r="R11" s="153" t="str">
        <f>IF(ISBLANK(B11),R10,B11)</f>
        <v>AI视频平台私有化部署</v>
      </c>
      <c r="S11" s="153" t="str">
        <f>IF(ISBLANK(C11),S10,C11)</f>
        <v>环境部署</v>
      </c>
      <c r="T11" s="158">
        <v>23</v>
      </c>
      <c r="U11" s="159" t="str">
        <f t="array" ref="U11">IFERROR(INDEX($R$10:$R$463,1+MATCH(,COUNTIF(U$1:U10,$R$11:$R$463),))&amp;"","")</f>
        <v/>
      </c>
      <c r="V11" s="160" t="str">
        <f t="array" ref="V11">IF(U11="","",_xlfn.TEXTJOIN(",",1,IF($C$11:$C$463&lt;&gt;"",IF($R$11:$R$463=$U11,$C$11:$C$463,""),"")))</f>
        <v/>
      </c>
      <c r="W11" s="160" t="str">
        <f t="shared" si="0"/>
        <v/>
      </c>
    </row>
    <row r="12" customHeight="1" spans="1:24">
      <c r="A12" s="129">
        <v>2</v>
      </c>
      <c r="B12" s="185"/>
      <c r="C12" s="185"/>
      <c r="D12" s="183" t="s">
        <v>48</v>
      </c>
      <c r="E12" s="183" t="s">
        <v>49</v>
      </c>
      <c r="F12" s="129" t="s">
        <v>44</v>
      </c>
      <c r="G12" s="129" t="s">
        <v>50</v>
      </c>
      <c r="H12" s="178" t="s">
        <v>51</v>
      </c>
      <c r="I12" s="129">
        <f>IFERROR(VLOOKUP(G12,工作量标准!$C:$D,2,0)*IF(IFERROR(FIND("A级",H12),0)&gt;0,1,IF(IFERROR(FIND("B级",H12),0)&gt;0,3,IF(IFERROR(FIND("C级",H12),0)&gt;0,5,IF(IFERROR(FIND("D级",H12),0)&gt;0,8,1)))),"")</f>
        <v>8</v>
      </c>
      <c r="J12" s="129" t="str">
        <f>IFERROR(ROUND(I12*#REF!/10000,2),"")</f>
        <v/>
      </c>
      <c r="K12" s="184" t="s">
        <v>44</v>
      </c>
      <c r="L12" s="184" t="s">
        <v>50</v>
      </c>
      <c r="M12" s="184" t="s">
        <v>46</v>
      </c>
      <c r="N12" s="129">
        <f>IFERROR(VLOOKUP(L12,工作量标准!$C:$D,2,0)*IF(IFERROR(FIND("A级",M12),0)&gt;0,1,IF(IFERROR(FIND("B级",M12),0)&gt;0,3,IF(IFERROR(FIND("C级",M12),0)&gt;0,5,IF(IFERROR(FIND("D级",M12),0)&gt;0,8,1)))),"")</f>
        <v>5</v>
      </c>
      <c r="O12" s="129"/>
      <c r="P12" s="178"/>
      <c r="Q12" s="153">
        <f t="shared" ref="Q12:Q75" si="1">I12-N12</f>
        <v>3</v>
      </c>
      <c r="R12" s="153" t="str">
        <f t="shared" ref="R12:R75" si="2">IF(ISBLANK(B12),R11,B12)</f>
        <v>AI视频平台私有化部署</v>
      </c>
      <c r="S12" s="153" t="str">
        <f t="shared" ref="S12:S75" si="3">IF(ISBLANK(C12),S11,C12)</f>
        <v>环境部署</v>
      </c>
      <c r="T12" s="158">
        <v>24</v>
      </c>
      <c r="U12" s="159" t="str">
        <f t="array" ref="U12">IFERROR(INDEX($R$10:$R$463,1+MATCH(,COUNTIF(U$1:U11,$R$11:$R$463),))&amp;"","")</f>
        <v/>
      </c>
      <c r="V12" s="160" t="str">
        <f t="array" ref="V12">IF(U12="","",_xlfn.TEXTJOIN(",",1,IF($C$11:$C$463&lt;&gt;"",IF($R$11:$R$463=$U12,$C$11:$C$463,""),"")))</f>
        <v/>
      </c>
      <c r="W12" s="160" t="str">
        <f t="shared" si="0"/>
        <v/>
      </c>
    </row>
    <row r="13" customHeight="1" spans="1:24">
      <c r="A13" s="129">
        <v>3</v>
      </c>
      <c r="B13" s="185"/>
      <c r="C13" s="185"/>
      <c r="D13" s="183" t="s">
        <v>52</v>
      </c>
      <c r="E13" s="183" t="s">
        <v>53</v>
      </c>
      <c r="F13" s="129" t="s">
        <v>44</v>
      </c>
      <c r="G13" s="129" t="s">
        <v>54</v>
      </c>
      <c r="H13" s="178" t="s">
        <v>46</v>
      </c>
      <c r="I13" s="129">
        <f>IFERROR(VLOOKUP(G13,工作量标准!$C:$D,2,0)*IF(IFERROR(FIND("A级",H13),0)&gt;0,1,IF(IFERROR(FIND("B级",H13),0)&gt;0,3,IF(IFERROR(FIND("C级",H13),0)&gt;0,5,IF(IFERROR(FIND("D级",H13),0)&gt;0,8,1)))),"")</f>
        <v>5</v>
      </c>
      <c r="J13" s="129" t="str">
        <f>IFERROR(ROUND(I13*#REF!/10000,2),"")</f>
        <v/>
      </c>
      <c r="K13" s="184" t="s">
        <v>44</v>
      </c>
      <c r="L13" s="184" t="s">
        <v>54</v>
      </c>
      <c r="M13" s="184" t="s">
        <v>46</v>
      </c>
      <c r="N13" s="129">
        <f>IFERROR(VLOOKUP(L13,工作量标准!$C:$D,2,0)*IF(IFERROR(FIND("A级",M13),0)&gt;0,1,IF(IFERROR(FIND("B级",M13),0)&gt;0,3,IF(IFERROR(FIND("C级",M13),0)&gt;0,5,IF(IFERROR(FIND("D级",M13),0)&gt;0,8,1)))),"")</f>
        <v>5</v>
      </c>
      <c r="O13" s="129"/>
      <c r="P13" s="178"/>
      <c r="Q13" s="153">
        <f t="shared" si="1"/>
        <v>0</v>
      </c>
      <c r="R13" s="153" t="str">
        <f t="shared" si="2"/>
        <v>AI视频平台私有化部署</v>
      </c>
      <c r="S13" s="153" t="str">
        <f t="shared" si="3"/>
        <v>环境部署</v>
      </c>
      <c r="T13" s="158">
        <v>25</v>
      </c>
      <c r="U13" s="159" t="str">
        <f t="array" ref="U13">IFERROR(INDEX($R$10:$R$463,1+MATCH(,COUNTIF(U$1:U12,$R$11:$R$463),))&amp;"","")</f>
        <v/>
      </c>
      <c r="V13" s="160" t="str">
        <f t="array" ref="V13">IF(U13="","",_xlfn.TEXTJOIN(",",1,IF($C$11:$C$463&lt;&gt;"",IF($R$11:$R$463=$U13,$C$11:$C$463,""),"")))</f>
        <v/>
      </c>
      <c r="W13" s="160" t="str">
        <f t="shared" si="0"/>
        <v/>
      </c>
    </row>
    <row r="14" customHeight="1" spans="1:24">
      <c r="A14" s="129">
        <v>4</v>
      </c>
      <c r="B14" s="185"/>
      <c r="C14" s="186"/>
      <c r="D14" s="183" t="s">
        <v>55</v>
      </c>
      <c r="E14" s="183" t="s">
        <v>56</v>
      </c>
      <c r="F14" s="129" t="s">
        <v>44</v>
      </c>
      <c r="G14" s="129" t="s">
        <v>57</v>
      </c>
      <c r="H14" s="178" t="s">
        <v>51</v>
      </c>
      <c r="I14" s="129">
        <f>IFERROR(VLOOKUP(G14,工作量标准!$C:$D,2,0)*IF(IFERROR(FIND("A级",H14),0)&gt;0,1,IF(IFERROR(FIND("B级",H14),0)&gt;0,3,IF(IFERROR(FIND("C级",H14),0)&gt;0,5,IF(IFERROR(FIND("D级",H14),0)&gt;0,8,1)))),"")</f>
        <v>8</v>
      </c>
      <c r="J14" s="129" t="str">
        <f>IFERROR(ROUND(I14*#REF!/10000,2),"")</f>
        <v/>
      </c>
      <c r="K14" s="184" t="s">
        <v>44</v>
      </c>
      <c r="L14" s="184" t="s">
        <v>57</v>
      </c>
      <c r="M14" s="184" t="s">
        <v>46</v>
      </c>
      <c r="N14" s="129">
        <f>IFERROR(VLOOKUP(L14,工作量标准!$C:$D,2,0)*IF(IFERROR(FIND("A级",M14),0)&gt;0,1,IF(IFERROR(FIND("B级",M14),0)&gt;0,3,IF(IFERROR(FIND("C级",M14),0)&gt;0,5,IF(IFERROR(FIND("D级",M14),0)&gt;0,8,1)))),"")</f>
        <v>5</v>
      </c>
      <c r="O14" s="129"/>
      <c r="P14" s="178"/>
      <c r="Q14" s="153">
        <f t="shared" si="1"/>
        <v>3</v>
      </c>
      <c r="R14" s="153" t="str">
        <f t="shared" si="2"/>
        <v>AI视频平台私有化部署</v>
      </c>
      <c r="S14" s="153" t="str">
        <f t="shared" si="3"/>
        <v>环境部署</v>
      </c>
      <c r="T14" s="158">
        <v>26</v>
      </c>
      <c r="U14" s="159" t="str">
        <f t="array" ref="U14">IFERROR(INDEX($R$10:$R$463,1+MATCH(,COUNTIF(U$1:U13,$R$11:$R$463),))&amp;"","")</f>
        <v/>
      </c>
      <c r="V14" s="160" t="str">
        <f t="array" ref="V14">IF(U14="","",_xlfn.TEXTJOIN(",",1,IF($C$11:$C$463&lt;&gt;"",IF($R$11:$R$463=$U14,$C$11:$C$463,""),"")))</f>
        <v/>
      </c>
      <c r="W14" s="160" t="str">
        <f t="shared" si="0"/>
        <v/>
      </c>
    </row>
    <row r="15" customHeight="1" spans="1:24">
      <c r="A15" s="129">
        <v>5</v>
      </c>
      <c r="B15" s="185"/>
      <c r="C15" s="182" t="s">
        <v>58</v>
      </c>
      <c r="D15" s="183" t="s">
        <v>59</v>
      </c>
      <c r="E15" s="183" t="s">
        <v>60</v>
      </c>
      <c r="F15" s="129" t="s">
        <v>61</v>
      </c>
      <c r="G15" s="129" t="s">
        <v>62</v>
      </c>
      <c r="H15" s="178" t="s">
        <v>51</v>
      </c>
      <c r="I15" s="129">
        <f>IFERROR(VLOOKUP(G15,工作量标准!$C:$D,2,0)*IF(IFERROR(FIND("A级",H15),0)&gt;0,1,IF(IFERROR(FIND("B级",H15),0)&gt;0,3,IF(IFERROR(FIND("C级",H15),0)&gt;0,5,IF(IFERROR(FIND("D级",H15),0)&gt;0,8,1)))),"")</f>
        <v>16</v>
      </c>
      <c r="J15" s="129" t="str">
        <f>IFERROR(ROUND(I15*#REF!/10000,2),"")</f>
        <v/>
      </c>
      <c r="K15" s="184" t="s">
        <v>61</v>
      </c>
      <c r="L15" s="184" t="s">
        <v>62</v>
      </c>
      <c r="M15" s="184" t="s">
        <v>46</v>
      </c>
      <c r="N15" s="129">
        <f>IFERROR(VLOOKUP(L15,工作量标准!$C:$D,2,0)*IF(IFERROR(FIND("A级",M15),0)&gt;0,1,IF(IFERROR(FIND("B级",M15),0)&gt;0,3,IF(IFERROR(FIND("C级",M15),0)&gt;0,5,IF(IFERROR(FIND("D级",M15),0)&gt;0,8,1)))),"")</f>
        <v>10</v>
      </c>
      <c r="O15" s="129"/>
      <c r="P15" s="178"/>
      <c r="Q15" s="153">
        <f t="shared" si="1"/>
        <v>6</v>
      </c>
      <c r="R15" s="153" t="str">
        <f t="shared" si="2"/>
        <v>AI视频平台私有化部署</v>
      </c>
      <c r="S15" s="153" t="str">
        <f t="shared" si="3"/>
        <v>视频剪辑制作</v>
      </c>
      <c r="T15" s="158">
        <v>27</v>
      </c>
      <c r="U15" s="159" t="str">
        <f t="array" ref="U15">IFERROR(INDEX($R$10:$R$463,1+MATCH(,COUNTIF(U$1:U14,$R$11:$R$463),))&amp;"","")</f>
        <v/>
      </c>
      <c r="V15" s="160" t="str">
        <f t="array" ref="V15">IF(U15="","",_xlfn.TEXTJOIN(",",1,IF($C$11:$C$463&lt;&gt;"",IF($R$11:$R$463=$U15,$C$11:$C$463,""),"")))</f>
        <v/>
      </c>
      <c r="W15" s="160" t="str">
        <f t="shared" si="0"/>
        <v/>
      </c>
    </row>
    <row r="16" customHeight="1" spans="1:24">
      <c r="A16" s="129">
        <v>6</v>
      </c>
      <c r="B16" s="185"/>
      <c r="C16" s="185"/>
      <c r="D16" s="183" t="s">
        <v>63</v>
      </c>
      <c r="E16" s="183" t="s">
        <v>64</v>
      </c>
      <c r="F16" s="129" t="s">
        <v>61</v>
      </c>
      <c r="G16" s="129" t="s">
        <v>62</v>
      </c>
      <c r="H16" s="178" t="s">
        <v>51</v>
      </c>
      <c r="I16" s="129">
        <f>IFERROR(VLOOKUP(G16,工作量标准!$C:$D,2,0)*IF(IFERROR(FIND("A级",H16),0)&gt;0,1,IF(IFERROR(FIND("B级",H16),0)&gt;0,3,IF(IFERROR(FIND("C级",H16),0)&gt;0,5,IF(IFERROR(FIND("D级",H16),0)&gt;0,8,1)))),"")</f>
        <v>16</v>
      </c>
      <c r="J16" s="129" t="str">
        <f>IFERROR(ROUND(I16*#REF!/10000,2),"")</f>
        <v/>
      </c>
      <c r="K16" s="184" t="s">
        <v>61</v>
      </c>
      <c r="L16" s="184" t="s">
        <v>62</v>
      </c>
      <c r="M16" s="184" t="s">
        <v>46</v>
      </c>
      <c r="N16" s="129">
        <f>IFERROR(VLOOKUP(L16,工作量标准!$C:$D,2,0)*IF(IFERROR(FIND("A级",M16),0)&gt;0,1,IF(IFERROR(FIND("B级",M16),0)&gt;0,3,IF(IFERROR(FIND("C级",M16),0)&gt;0,5,IF(IFERROR(FIND("D级",M16),0)&gt;0,8,1)))),"")</f>
        <v>10</v>
      </c>
      <c r="O16" s="129"/>
      <c r="P16" s="178"/>
      <c r="Q16" s="153">
        <f t="shared" si="1"/>
        <v>6</v>
      </c>
      <c r="R16" s="153" t="str">
        <f t="shared" si="2"/>
        <v>AI视频平台私有化部署</v>
      </c>
      <c r="S16" s="153" t="str">
        <f t="shared" si="3"/>
        <v>视频剪辑制作</v>
      </c>
      <c r="T16" s="158">
        <v>28</v>
      </c>
      <c r="U16" s="159" t="str">
        <f t="array" ref="U16">IFERROR(INDEX($R$10:$R$463,1+MATCH(,COUNTIF(U$1:U15,$R$11:$R$463),))&amp;"","")</f>
        <v/>
      </c>
      <c r="V16" s="160" t="str">
        <f t="array" ref="V16">IF(U16="","",_xlfn.TEXTJOIN(",",1,IF($C$11:$C$463&lt;&gt;"",IF($R$11:$R$463=$U16,$C$11:$C$463,""),"")))</f>
        <v/>
      </c>
      <c r="W16" s="160" t="str">
        <f t="shared" si="0"/>
        <v/>
      </c>
    </row>
    <row r="17" customHeight="1" spans="1:23">
      <c r="A17" s="129">
        <v>7</v>
      </c>
      <c r="B17" s="185"/>
      <c r="C17" s="185"/>
      <c r="D17" s="183" t="s">
        <v>65</v>
      </c>
      <c r="E17" s="183" t="s">
        <v>66</v>
      </c>
      <c r="F17" s="129" t="s">
        <v>67</v>
      </c>
      <c r="G17" s="129" t="s">
        <v>68</v>
      </c>
      <c r="H17" s="178" t="s">
        <v>51</v>
      </c>
      <c r="I17" s="129">
        <f>IFERROR(VLOOKUP(G17,工作量标准!$C:$D,2,0)*IF(IFERROR(FIND("A级",H17),0)&gt;0,1,IF(IFERROR(FIND("B级",H17),0)&gt;0,3,IF(IFERROR(FIND("C级",H17),0)&gt;0,5,IF(IFERROR(FIND("D级",H17),0)&gt;0,8,1)))),"")</f>
        <v>32</v>
      </c>
      <c r="J17" s="129" t="str">
        <f>IFERROR(ROUND(I17*#REF!/10000,2),"")</f>
        <v/>
      </c>
      <c r="K17" s="184" t="s">
        <v>69</v>
      </c>
      <c r="L17" s="184" t="s">
        <v>70</v>
      </c>
      <c r="M17" s="184" t="s">
        <v>46</v>
      </c>
      <c r="N17" s="129">
        <f>IFERROR(VLOOKUP(L17,工作量标准!$C:$D,2,0)*IF(IFERROR(FIND("A级",M17),0)&gt;0,1,IF(IFERROR(FIND("B级",M17),0)&gt;0,3,IF(IFERROR(FIND("C级",M17),0)&gt;0,5,IF(IFERROR(FIND("D级",M17),0)&gt;0,8,1)))),"")</f>
        <v>20</v>
      </c>
      <c r="O17" s="129"/>
      <c r="P17" s="178"/>
      <c r="Q17" s="153">
        <f t="shared" si="1"/>
        <v>12</v>
      </c>
      <c r="R17" s="153" t="str">
        <f t="shared" si="2"/>
        <v>AI视频平台私有化部署</v>
      </c>
      <c r="S17" s="153" t="str">
        <f t="shared" si="3"/>
        <v>视频剪辑制作</v>
      </c>
      <c r="T17" s="158">
        <v>29</v>
      </c>
      <c r="U17" s="159" t="str">
        <f t="array" ref="U17">IFERROR(INDEX($R$10:$R$463,1+MATCH(,COUNTIF(U$1:U16,$R$11:$R$463),))&amp;"","")</f>
        <v/>
      </c>
      <c r="V17" s="160" t="str">
        <f t="array" ref="V17">IF(U17="","",_xlfn.TEXTJOIN(",",1,IF($C$11:$C$463&lt;&gt;"",IF($R$11:$R$463=$U17,$C$11:$C$463,""),"")))</f>
        <v/>
      </c>
      <c r="W17" s="160" t="str">
        <f t="shared" si="0"/>
        <v/>
      </c>
    </row>
    <row r="18" customHeight="1" spans="1:23">
      <c r="A18" s="129">
        <v>8</v>
      </c>
      <c r="B18" s="185"/>
      <c r="C18" s="185"/>
      <c r="D18" s="183" t="s">
        <v>71</v>
      </c>
      <c r="E18" s="183" t="s">
        <v>72</v>
      </c>
      <c r="F18" s="129" t="s">
        <v>67</v>
      </c>
      <c r="G18" s="129" t="s">
        <v>68</v>
      </c>
      <c r="H18" s="178" t="s">
        <v>46</v>
      </c>
      <c r="I18" s="129">
        <f>IFERROR(VLOOKUP(G18,工作量标准!$C:$D,2,0)*IF(IFERROR(FIND("A级",H18),0)&gt;0,1,IF(IFERROR(FIND("B级",H18),0)&gt;0,3,IF(IFERROR(FIND("C级",H18),0)&gt;0,5,IF(IFERROR(FIND("D级",H18),0)&gt;0,8,1)))),"")</f>
        <v>20</v>
      </c>
      <c r="J18" s="129" t="str">
        <f>IFERROR(ROUND(I18*#REF!/10000,2),"")</f>
        <v/>
      </c>
      <c r="K18" s="184" t="s">
        <v>69</v>
      </c>
      <c r="L18" s="184" t="s">
        <v>70</v>
      </c>
      <c r="M18" s="184" t="s">
        <v>47</v>
      </c>
      <c r="N18" s="129">
        <f>IFERROR(VLOOKUP(L18,工作量标准!$C:$D,2,0)*IF(IFERROR(FIND("A级",M18),0)&gt;0,1,IF(IFERROR(FIND("B级",M18),0)&gt;0,3,IF(IFERROR(FIND("C级",M18),0)&gt;0,5,IF(IFERROR(FIND("D级",M18),0)&gt;0,8,1)))),"")</f>
        <v>12</v>
      </c>
      <c r="O18" s="129"/>
      <c r="P18" s="178"/>
      <c r="Q18" s="153">
        <f t="shared" si="1"/>
        <v>8</v>
      </c>
      <c r="R18" s="153" t="str">
        <f t="shared" si="2"/>
        <v>AI视频平台私有化部署</v>
      </c>
      <c r="S18" s="153" t="str">
        <f t="shared" si="3"/>
        <v>视频剪辑制作</v>
      </c>
      <c r="T18" s="158">
        <v>30</v>
      </c>
      <c r="U18" s="159" t="str">
        <f t="array" ref="U18">IFERROR(INDEX($R$10:$R$463,1+MATCH(,COUNTIF(U$1:U17,$R$11:$R$463),))&amp;"","")</f>
        <v/>
      </c>
      <c r="V18" s="160" t="str">
        <f t="array" ref="V18">IF(U18="","",_xlfn.TEXTJOIN(",",1,IF($C$11:$C$463&lt;&gt;"",IF($R$11:$R$463=$U18,$C$11:$C$463,""),"")))</f>
        <v/>
      </c>
      <c r="W18" s="160" t="str">
        <f t="shared" si="0"/>
        <v/>
      </c>
    </row>
    <row r="19" customHeight="1" spans="1:23">
      <c r="A19" s="129">
        <v>9</v>
      </c>
      <c r="B19" s="185"/>
      <c r="C19" s="186"/>
      <c r="D19" s="183" t="s">
        <v>73</v>
      </c>
      <c r="E19" s="183" t="s">
        <v>74</v>
      </c>
      <c r="F19" s="129" t="s">
        <v>67</v>
      </c>
      <c r="G19" s="129" t="s">
        <v>68</v>
      </c>
      <c r="H19" s="178" t="s">
        <v>46</v>
      </c>
      <c r="I19" s="129">
        <f>IFERROR(VLOOKUP(G19,工作量标准!$C:$D,2,0)*IF(IFERROR(FIND("A级",H19),0)&gt;0,1,IF(IFERROR(FIND("B级",H19),0)&gt;0,3,IF(IFERROR(FIND("C级",H19),0)&gt;0,5,IF(IFERROR(FIND("D级",H19),0)&gt;0,8,1)))),"")</f>
        <v>20</v>
      </c>
      <c r="J19" s="129" t="str">
        <f>IFERROR(ROUND(I19*#REF!/10000,2),"")</f>
        <v/>
      </c>
      <c r="K19" s="184" t="s">
        <v>69</v>
      </c>
      <c r="L19" s="184" t="s">
        <v>70</v>
      </c>
      <c r="M19" s="184" t="s">
        <v>47</v>
      </c>
      <c r="N19" s="129">
        <f>IFERROR(VLOOKUP(L19,工作量标准!$C:$D,2,0)*IF(IFERROR(FIND("A级",M19),0)&gt;0,1,IF(IFERROR(FIND("B级",M19),0)&gt;0,3,IF(IFERROR(FIND("C级",M19),0)&gt;0,5,IF(IFERROR(FIND("D级",M19),0)&gt;0,8,1)))),"")</f>
        <v>12</v>
      </c>
      <c r="O19" s="129"/>
      <c r="P19" s="178"/>
      <c r="Q19" s="153">
        <f t="shared" si="1"/>
        <v>8</v>
      </c>
      <c r="R19" s="153" t="str">
        <f t="shared" si="2"/>
        <v>AI视频平台私有化部署</v>
      </c>
      <c r="S19" s="153" t="str">
        <f t="shared" si="3"/>
        <v>视频剪辑制作</v>
      </c>
    </row>
    <row r="20" customHeight="1" spans="1:23">
      <c r="A20" s="129">
        <v>10</v>
      </c>
      <c r="B20" s="185"/>
      <c r="C20" s="182" t="s">
        <v>75</v>
      </c>
      <c r="D20" s="183" t="s">
        <v>76</v>
      </c>
      <c r="E20" s="183" t="s">
        <v>77</v>
      </c>
      <c r="F20" s="129" t="s">
        <v>78</v>
      </c>
      <c r="G20" s="129" t="s">
        <v>79</v>
      </c>
      <c r="H20" s="178" t="s">
        <v>51</v>
      </c>
      <c r="I20" s="129">
        <f>IFERROR(VLOOKUP(G20,工作量标准!$C:$D,2,0)*IF(IFERROR(FIND("A级",H20),0)&gt;0,1,IF(IFERROR(FIND("B级",H20),0)&gt;0,3,IF(IFERROR(FIND("C级",H20),0)&gt;0,5,IF(IFERROR(FIND("D级",H20),0)&gt;0,8,1)))),"")</f>
        <v>32</v>
      </c>
      <c r="J20" s="129" t="str">
        <f>IFERROR(ROUND(I20*#REF!/10000,2),"")</f>
        <v/>
      </c>
      <c r="K20" s="184" t="s">
        <v>69</v>
      </c>
      <c r="L20" s="184" t="s">
        <v>70</v>
      </c>
      <c r="M20" s="184" t="s">
        <v>47</v>
      </c>
      <c r="N20" s="129">
        <f>IFERROR(VLOOKUP(L20,工作量标准!$C:$D,2,0)*IF(IFERROR(FIND("A级",M20),0)&gt;0,1,IF(IFERROR(FIND("B级",M20),0)&gt;0,3,IF(IFERROR(FIND("C级",M20),0)&gt;0,5,IF(IFERROR(FIND("D级",M20),0)&gt;0,8,1)))),"")</f>
        <v>12</v>
      </c>
      <c r="O20" s="129" t="str">
        <f>IFERROR(ROUND(N20*#REF!/10000,2),"")</f>
        <v/>
      </c>
      <c r="P20" s="178"/>
      <c r="Q20" s="153">
        <f t="shared" si="1"/>
        <v>20</v>
      </c>
      <c r="R20" s="153" t="str">
        <f t="shared" si="2"/>
        <v>AI视频平台私有化部署</v>
      </c>
      <c r="S20" s="153" t="str">
        <f t="shared" si="3"/>
        <v>多人协作</v>
      </c>
    </row>
    <row r="21" customHeight="1" spans="1:23">
      <c r="A21" s="129">
        <v>11</v>
      </c>
      <c r="B21" s="185"/>
      <c r="C21" s="185"/>
      <c r="D21" s="183" t="s">
        <v>80</v>
      </c>
      <c r="E21" s="183" t="s">
        <v>81</v>
      </c>
      <c r="F21" s="129" t="s">
        <v>67</v>
      </c>
      <c r="G21" s="129" t="s">
        <v>68</v>
      </c>
      <c r="H21" s="178" t="s">
        <v>51</v>
      </c>
      <c r="I21" s="129">
        <f>IFERROR(VLOOKUP(G21,工作量标准!$C:$D,2,0)*IF(IFERROR(FIND("A级",H21),0)&gt;0,1,IF(IFERROR(FIND("B级",H21),0)&gt;0,3,IF(IFERROR(FIND("C级",H21),0)&gt;0,5,IF(IFERROR(FIND("D级",H21),0)&gt;0,8,1)))),"")</f>
        <v>32</v>
      </c>
      <c r="J21" s="129" t="str">
        <f>IFERROR(ROUND(I21*#REF!/10000,2),"")</f>
        <v/>
      </c>
      <c r="K21" s="184" t="s">
        <v>69</v>
      </c>
      <c r="L21" s="184" t="s">
        <v>70</v>
      </c>
      <c r="M21" s="184" t="s">
        <v>46</v>
      </c>
      <c r="N21" s="129">
        <f>IFERROR(VLOOKUP(L21,工作量标准!$C:$D,2,0)*IF(IFERROR(FIND("A级",M21),0)&gt;0,1,IF(IFERROR(FIND("B级",M21),0)&gt;0,3,IF(IFERROR(FIND("C级",M21),0)&gt;0,5,IF(IFERROR(FIND("D级",M21),0)&gt;0,8,1)))),"")</f>
        <v>20</v>
      </c>
      <c r="O21" s="129" t="str">
        <f>IFERROR(ROUND(N21*#REF!/10000,2),"")</f>
        <v/>
      </c>
      <c r="P21" s="178"/>
      <c r="Q21" s="153">
        <f t="shared" si="1"/>
        <v>12</v>
      </c>
      <c r="R21" s="153" t="str">
        <f t="shared" si="2"/>
        <v>AI视频平台私有化部署</v>
      </c>
      <c r="S21" s="153" t="str">
        <f t="shared" si="3"/>
        <v>多人协作</v>
      </c>
    </row>
    <row r="22" customHeight="1" spans="1:23">
      <c r="A22" s="129">
        <v>12</v>
      </c>
      <c r="B22" s="185"/>
      <c r="C22" s="185"/>
      <c r="D22" s="183" t="s">
        <v>82</v>
      </c>
      <c r="E22" s="183" t="s">
        <v>83</v>
      </c>
      <c r="F22" s="129" t="s">
        <v>67</v>
      </c>
      <c r="G22" s="129" t="s">
        <v>68</v>
      </c>
      <c r="H22" s="178" t="s">
        <v>46</v>
      </c>
      <c r="I22" s="129">
        <f>IFERROR(VLOOKUP(G22,工作量标准!$C:$D,2,0)*IF(IFERROR(FIND("A级",H22),0)&gt;0,1,IF(IFERROR(FIND("B级",H22),0)&gt;0,3,IF(IFERROR(FIND("C级",H22),0)&gt;0,5,IF(IFERROR(FIND("D级",H22),0)&gt;0,8,1)))),"")</f>
        <v>20</v>
      </c>
      <c r="J22" s="129" t="str">
        <f>IFERROR(ROUND(I22*#REF!/10000,2),"")</f>
        <v/>
      </c>
      <c r="K22" s="184" t="s">
        <v>69</v>
      </c>
      <c r="L22" s="184" t="s">
        <v>70</v>
      </c>
      <c r="M22" s="184" t="s">
        <v>46</v>
      </c>
      <c r="N22" s="129">
        <f>IFERROR(VLOOKUP(L22,工作量标准!$C:$D,2,0)*IF(IFERROR(FIND("A级",M22),0)&gt;0,1,IF(IFERROR(FIND("B级",M22),0)&gt;0,3,IF(IFERROR(FIND("C级",M22),0)&gt;0,5,IF(IFERROR(FIND("D级",M22),0)&gt;0,8,1)))),"")</f>
        <v>20</v>
      </c>
      <c r="O22" s="129" t="str">
        <f>IFERROR(ROUND(N22*#REF!/10000,2),"")</f>
        <v/>
      </c>
      <c r="P22" s="178"/>
      <c r="Q22" s="153">
        <f t="shared" si="1"/>
        <v>0</v>
      </c>
      <c r="R22" s="153" t="str">
        <f t="shared" si="2"/>
        <v>AI视频平台私有化部署</v>
      </c>
      <c r="S22" s="153" t="str">
        <f t="shared" si="3"/>
        <v>多人协作</v>
      </c>
    </row>
    <row r="23" customHeight="1" spans="1:23">
      <c r="A23" s="129">
        <v>13</v>
      </c>
      <c r="B23" s="185"/>
      <c r="C23" s="185"/>
      <c r="D23" s="183" t="s">
        <v>84</v>
      </c>
      <c r="E23" s="183" t="s">
        <v>85</v>
      </c>
      <c r="F23" s="129" t="s">
        <v>67</v>
      </c>
      <c r="G23" s="129" t="s">
        <v>68</v>
      </c>
      <c r="H23" s="178" t="s">
        <v>47</v>
      </c>
      <c r="I23" s="129">
        <f>IFERROR(VLOOKUP(G23,工作量标准!$C:$D,2,0)*IF(IFERROR(FIND("A级",H23),0)&gt;0,1,IF(IFERROR(FIND("B级",H23),0)&gt;0,3,IF(IFERROR(FIND("C级",H23),0)&gt;0,5,IF(IFERROR(FIND("D级",H23),0)&gt;0,8,1)))),"")</f>
        <v>12</v>
      </c>
      <c r="J23" s="129" t="str">
        <f>IFERROR(ROUND(I23*#REF!/10000,2),"")</f>
        <v/>
      </c>
      <c r="K23" s="184" t="s">
        <v>69</v>
      </c>
      <c r="L23" s="184" t="s">
        <v>70</v>
      </c>
      <c r="M23" s="184" t="s">
        <v>47</v>
      </c>
      <c r="N23" s="129">
        <f>IFERROR(VLOOKUP(L23,工作量标准!$C:$D,2,0)*IF(IFERROR(FIND("A级",M23),0)&gt;0,1,IF(IFERROR(FIND("B级",M23),0)&gt;0,3,IF(IFERROR(FIND("C级",M23),0)&gt;0,5,IF(IFERROR(FIND("D级",M23),0)&gt;0,8,1)))),"")</f>
        <v>12</v>
      </c>
      <c r="O23" s="129" t="str">
        <f>IFERROR(ROUND(N23*#REF!/10000,2),"")</f>
        <v/>
      </c>
      <c r="P23" s="178"/>
      <c r="Q23" s="153">
        <f t="shared" si="1"/>
        <v>0</v>
      </c>
      <c r="R23" s="153" t="str">
        <f t="shared" si="2"/>
        <v>AI视频平台私有化部署</v>
      </c>
      <c r="S23" s="153" t="str">
        <f t="shared" si="3"/>
        <v>多人协作</v>
      </c>
    </row>
    <row r="24" customHeight="1" spans="1:23">
      <c r="A24" s="129">
        <v>14</v>
      </c>
      <c r="B24" s="185"/>
      <c r="C24" s="186"/>
      <c r="D24" s="183" t="s">
        <v>86</v>
      </c>
      <c r="E24" s="183" t="s">
        <v>87</v>
      </c>
      <c r="F24" s="129" t="s">
        <v>61</v>
      </c>
      <c r="G24" s="129" t="s">
        <v>62</v>
      </c>
      <c r="H24" s="178" t="s">
        <v>46</v>
      </c>
      <c r="I24" s="129">
        <f>IFERROR(VLOOKUP(G24,工作量标准!$C:$D,2,0)*IF(IFERROR(FIND("A级",H24),0)&gt;0,1,IF(IFERROR(FIND("B级",H24),0)&gt;0,3,IF(IFERROR(FIND("C级",H24),0)&gt;0,5,IF(IFERROR(FIND("D级",H24),0)&gt;0,8,1)))),"")</f>
        <v>10</v>
      </c>
      <c r="J24" s="129" t="str">
        <f>IFERROR(ROUND(I24*#REF!/10000,2),"")</f>
        <v/>
      </c>
      <c r="K24" s="184" t="s">
        <v>61</v>
      </c>
      <c r="L24" s="184" t="s">
        <v>62</v>
      </c>
      <c r="M24" s="184" t="s">
        <v>46</v>
      </c>
      <c r="N24" s="129">
        <f>IFERROR(VLOOKUP(L24,工作量标准!$C:$D,2,0)*IF(IFERROR(FIND("A级",M24),0)&gt;0,1,IF(IFERROR(FIND("B级",M24),0)&gt;0,3,IF(IFERROR(FIND("C级",M24),0)&gt;0,5,IF(IFERROR(FIND("D级",M24),0)&gt;0,8,1)))),"")</f>
        <v>10</v>
      </c>
      <c r="O24" s="129" t="str">
        <f>IFERROR(ROUND(N24*#REF!/10000,2),"")</f>
        <v/>
      </c>
      <c r="P24" s="178"/>
      <c r="Q24" s="153">
        <f t="shared" si="1"/>
        <v>0</v>
      </c>
      <c r="R24" s="153" t="str">
        <f t="shared" si="2"/>
        <v>AI视频平台私有化部署</v>
      </c>
      <c r="S24" s="153" t="str">
        <f t="shared" si="3"/>
        <v>多人协作</v>
      </c>
    </row>
    <row r="25" customHeight="1" spans="1:23">
      <c r="A25" s="129">
        <v>15</v>
      </c>
      <c r="B25" s="185"/>
      <c r="C25" s="182" t="s">
        <v>88</v>
      </c>
      <c r="D25" s="183" t="s">
        <v>89</v>
      </c>
      <c r="E25" s="183" t="s">
        <v>90</v>
      </c>
      <c r="F25" s="129" t="s">
        <v>67</v>
      </c>
      <c r="G25" s="129" t="s">
        <v>68</v>
      </c>
      <c r="H25" s="178" t="s">
        <v>46</v>
      </c>
      <c r="I25" s="129">
        <f>IFERROR(VLOOKUP(G25,工作量标准!$C:$D,2,0)*IF(IFERROR(FIND("A级",H25),0)&gt;0,1,IF(IFERROR(FIND("B级",H25),0)&gt;0,3,IF(IFERROR(FIND("C级",H25),0)&gt;0,5,IF(IFERROR(FIND("D级",H25),0)&gt;0,8,1)))),"")</f>
        <v>20</v>
      </c>
      <c r="J25" s="129" t="str">
        <f>IFERROR(ROUND(I25*#REF!/10000,2),"")</f>
        <v/>
      </c>
      <c r="K25" s="184" t="s">
        <v>69</v>
      </c>
      <c r="L25" s="184" t="s">
        <v>70</v>
      </c>
      <c r="M25" s="184" t="s">
        <v>47</v>
      </c>
      <c r="N25" s="129">
        <f>IFERROR(VLOOKUP(L25,工作量标准!$C:$D,2,0)*IF(IFERROR(FIND("A级",M25),0)&gt;0,1,IF(IFERROR(FIND("B级",M25),0)&gt;0,3,IF(IFERROR(FIND("C级",M25),0)&gt;0,5,IF(IFERROR(FIND("D级",M25),0)&gt;0,8,1)))),"")</f>
        <v>12</v>
      </c>
      <c r="O25" s="129" t="str">
        <f>IFERROR(ROUND(N25*#REF!/10000,2),"")</f>
        <v/>
      </c>
      <c r="P25" s="178"/>
      <c r="Q25" s="153">
        <f t="shared" si="1"/>
        <v>8</v>
      </c>
      <c r="R25" s="153" t="str">
        <f t="shared" si="2"/>
        <v>AI视频平台私有化部署</v>
      </c>
      <c r="S25" s="153" t="str">
        <f t="shared" si="3"/>
        <v>素材管理</v>
      </c>
    </row>
    <row r="26" customHeight="1" spans="1:23">
      <c r="A26" s="129">
        <v>16</v>
      </c>
      <c r="B26" s="185"/>
      <c r="C26" s="185"/>
      <c r="D26" s="183" t="s">
        <v>91</v>
      </c>
      <c r="E26" s="183" t="s">
        <v>92</v>
      </c>
      <c r="F26" s="129" t="s">
        <v>67</v>
      </c>
      <c r="G26" s="129" t="s">
        <v>68</v>
      </c>
      <c r="H26" s="178" t="s">
        <v>47</v>
      </c>
      <c r="I26" s="129">
        <f>IFERROR(VLOOKUP(G26,工作量标准!$C:$D,2,0)*IF(IFERROR(FIND("A级",H26),0)&gt;0,1,IF(IFERROR(FIND("B级",H26),0)&gt;0,3,IF(IFERROR(FIND("C级",H26),0)&gt;0,5,IF(IFERROR(FIND("D级",H26),0)&gt;0,8,1)))),"")</f>
        <v>12</v>
      </c>
      <c r="J26" s="129" t="str">
        <f>IFERROR(ROUND(I26*#REF!/10000,2),"")</f>
        <v/>
      </c>
      <c r="K26" s="184" t="s">
        <v>69</v>
      </c>
      <c r="L26" s="184" t="s">
        <v>70</v>
      </c>
      <c r="M26" s="184" t="s">
        <v>47</v>
      </c>
      <c r="N26" s="129">
        <f>IFERROR(VLOOKUP(L26,工作量标准!$C:$D,2,0)*IF(IFERROR(FIND("A级",M26),0)&gt;0,1,IF(IFERROR(FIND("B级",M26),0)&gt;0,3,IF(IFERROR(FIND("C级",M26),0)&gt;0,5,IF(IFERROR(FIND("D级",M26),0)&gt;0,8,1)))),"")</f>
        <v>12</v>
      </c>
      <c r="O26" s="129" t="str">
        <f>IFERROR(ROUND(N26*#REF!/10000,2),"")</f>
        <v/>
      </c>
      <c r="P26" s="178"/>
      <c r="Q26" s="153">
        <f t="shared" si="1"/>
        <v>0</v>
      </c>
      <c r="R26" s="153" t="str">
        <f t="shared" si="2"/>
        <v>AI视频平台私有化部署</v>
      </c>
      <c r="S26" s="153" t="str">
        <f t="shared" si="3"/>
        <v>素材管理</v>
      </c>
    </row>
    <row r="27" customHeight="1" spans="1:23">
      <c r="A27" s="129">
        <v>17</v>
      </c>
      <c r="B27" s="185"/>
      <c r="C27" s="185"/>
      <c r="D27" s="183" t="s">
        <v>93</v>
      </c>
      <c r="E27" s="183" t="s">
        <v>94</v>
      </c>
      <c r="F27" s="129" t="s">
        <v>61</v>
      </c>
      <c r="G27" s="129" t="s">
        <v>62</v>
      </c>
      <c r="H27" s="178" t="s">
        <v>46</v>
      </c>
      <c r="I27" s="129">
        <f>IFERROR(VLOOKUP(G27,工作量标准!$C:$D,2,0)*IF(IFERROR(FIND("A级",H27),0)&gt;0,1,IF(IFERROR(FIND("B级",H27),0)&gt;0,3,IF(IFERROR(FIND("C级",H27),0)&gt;0,5,IF(IFERROR(FIND("D级",H27),0)&gt;0,8,1)))),"")</f>
        <v>10</v>
      </c>
      <c r="J27" s="129" t="str">
        <f>IFERROR(ROUND(I27*#REF!/10000,2),"")</f>
        <v/>
      </c>
      <c r="K27" s="184" t="s">
        <v>61</v>
      </c>
      <c r="L27" s="184" t="s">
        <v>62</v>
      </c>
      <c r="M27" s="184" t="s">
        <v>46</v>
      </c>
      <c r="N27" s="129">
        <f>IFERROR(VLOOKUP(L27,工作量标准!$C:$D,2,0)*IF(IFERROR(FIND("A级",M27),0)&gt;0,1,IF(IFERROR(FIND("B级",M27),0)&gt;0,3,IF(IFERROR(FIND("C级",M27),0)&gt;0,5,IF(IFERROR(FIND("D级",M27),0)&gt;0,8,1)))),"")</f>
        <v>10</v>
      </c>
      <c r="O27" s="129" t="str">
        <f>IFERROR(ROUND(N27*#REF!/10000,2),"")</f>
        <v/>
      </c>
      <c r="P27" s="178"/>
      <c r="Q27" s="153">
        <f t="shared" si="1"/>
        <v>0</v>
      </c>
      <c r="R27" s="153" t="str">
        <f t="shared" si="2"/>
        <v>AI视频平台私有化部署</v>
      </c>
      <c r="S27" s="153" t="str">
        <f t="shared" si="3"/>
        <v>素材管理</v>
      </c>
    </row>
    <row r="28" customHeight="1" spans="1:23">
      <c r="A28" s="129">
        <v>18</v>
      </c>
      <c r="B28" s="185"/>
      <c r="C28" s="185"/>
      <c r="D28" s="183" t="s">
        <v>95</v>
      </c>
      <c r="E28" s="183" t="s">
        <v>96</v>
      </c>
      <c r="F28" s="129" t="s">
        <v>67</v>
      </c>
      <c r="G28" s="129" t="s">
        <v>68</v>
      </c>
      <c r="H28" s="178" t="s">
        <v>47</v>
      </c>
      <c r="I28" s="129">
        <f>IFERROR(VLOOKUP(G28,工作量标准!$C:$D,2,0)*IF(IFERROR(FIND("A级",H28),0)&gt;0,1,IF(IFERROR(FIND("B级",H28),0)&gt;0,3,IF(IFERROR(FIND("C级",H28),0)&gt;0,5,IF(IFERROR(FIND("D级",H28),0)&gt;0,8,1)))),"")</f>
        <v>12</v>
      </c>
      <c r="J28" s="129" t="str">
        <f>IFERROR(ROUND(I28*#REF!/10000,2),"")</f>
        <v/>
      </c>
      <c r="K28" s="184" t="s">
        <v>69</v>
      </c>
      <c r="L28" s="184" t="s">
        <v>70</v>
      </c>
      <c r="M28" s="184" t="s">
        <v>47</v>
      </c>
      <c r="N28" s="129">
        <f>IFERROR(VLOOKUP(L28,工作量标准!$C:$D,2,0)*IF(IFERROR(FIND("A级",M28),0)&gt;0,1,IF(IFERROR(FIND("B级",M28),0)&gt;0,3,IF(IFERROR(FIND("C级",M28),0)&gt;0,5,IF(IFERROR(FIND("D级",M28),0)&gt;0,8,1)))),"")</f>
        <v>12</v>
      </c>
      <c r="O28" s="129" t="str">
        <f>IFERROR(ROUND(N28*#REF!/10000,2),"")</f>
        <v/>
      </c>
      <c r="P28" s="178"/>
      <c r="Q28" s="153">
        <f t="shared" si="1"/>
        <v>0</v>
      </c>
      <c r="R28" s="153" t="str">
        <f t="shared" si="2"/>
        <v>AI视频平台私有化部署</v>
      </c>
      <c r="S28" s="153" t="str">
        <f t="shared" si="3"/>
        <v>素材管理</v>
      </c>
    </row>
    <row r="29" customHeight="1" spans="1:23">
      <c r="A29" s="129">
        <v>19</v>
      </c>
      <c r="B29" s="185"/>
      <c r="C29" s="186"/>
      <c r="D29" s="183" t="s">
        <v>97</v>
      </c>
      <c r="E29" s="183" t="s">
        <v>98</v>
      </c>
      <c r="F29" s="129" t="s">
        <v>61</v>
      </c>
      <c r="G29" s="129" t="s">
        <v>62</v>
      </c>
      <c r="H29" s="178" t="s">
        <v>46</v>
      </c>
      <c r="I29" s="129">
        <f>IFERROR(VLOOKUP(G29,工作量标准!$C:$D,2,0)*IF(IFERROR(FIND("A级",H29),0)&gt;0,1,IF(IFERROR(FIND("B级",H29),0)&gt;0,3,IF(IFERROR(FIND("C级",H29),0)&gt;0,5,IF(IFERROR(FIND("D级",H29),0)&gt;0,8,1)))),"")</f>
        <v>10</v>
      </c>
      <c r="J29" s="129" t="str">
        <f>IFERROR(ROUND(I29*#REF!/10000,2),"")</f>
        <v/>
      </c>
      <c r="K29" s="184" t="s">
        <v>61</v>
      </c>
      <c r="L29" s="184" t="s">
        <v>62</v>
      </c>
      <c r="M29" s="184" t="s">
        <v>46</v>
      </c>
      <c r="N29" s="129">
        <f>IFERROR(VLOOKUP(L29,工作量标准!$C:$D,2,0)*IF(IFERROR(FIND("A级",M29),0)&gt;0,1,IF(IFERROR(FIND("B级",M29),0)&gt;0,3,IF(IFERROR(FIND("C级",M29),0)&gt;0,5,IF(IFERROR(FIND("D级",M29),0)&gt;0,8,1)))),"")</f>
        <v>10</v>
      </c>
      <c r="O29" s="129" t="str">
        <f>IFERROR(ROUND(N29*#REF!/10000,2),"")</f>
        <v/>
      </c>
      <c r="P29" s="178"/>
      <c r="Q29" s="153">
        <f t="shared" si="1"/>
        <v>0</v>
      </c>
      <c r="R29" s="153" t="str">
        <f t="shared" si="2"/>
        <v>AI视频平台私有化部署</v>
      </c>
      <c r="S29" s="153" t="str">
        <f t="shared" si="3"/>
        <v>素材管理</v>
      </c>
    </row>
    <row r="30" customHeight="1" spans="1:23">
      <c r="A30" s="129">
        <v>20</v>
      </c>
      <c r="B30" s="185"/>
      <c r="C30" s="182" t="s">
        <v>99</v>
      </c>
      <c r="D30" s="183" t="s">
        <v>100</v>
      </c>
      <c r="E30" s="183" t="s">
        <v>101</v>
      </c>
      <c r="F30" s="129" t="s">
        <v>61</v>
      </c>
      <c r="G30" s="129" t="s">
        <v>62</v>
      </c>
      <c r="H30" s="178" t="s">
        <v>46</v>
      </c>
      <c r="I30" s="129">
        <f>IFERROR(VLOOKUP(G30,工作量标准!$C:$D,2,0)*IF(IFERROR(FIND("A级",H30),0)&gt;0,1,IF(IFERROR(FIND("B级",H30),0)&gt;0,3,IF(IFERROR(FIND("C级",H30),0)&gt;0,5,IF(IFERROR(FIND("D级",H30),0)&gt;0,8,1)))),"")</f>
        <v>10</v>
      </c>
      <c r="J30" s="129" t="str">
        <f>IFERROR(ROUND(I30*#REF!/10000,2),"")</f>
        <v/>
      </c>
      <c r="K30" s="184" t="s">
        <v>61</v>
      </c>
      <c r="L30" s="184" t="s">
        <v>62</v>
      </c>
      <c r="M30" s="184" t="s">
        <v>46</v>
      </c>
      <c r="N30" s="129">
        <f>IFERROR(VLOOKUP(L30,工作量标准!$C:$D,2,0)*IF(IFERROR(FIND("A级",M30),0)&gt;0,1,IF(IFERROR(FIND("B级",M30),0)&gt;0,3,IF(IFERROR(FIND("C级",M30),0)&gt;0,5,IF(IFERROR(FIND("D级",M30),0)&gt;0,8,1)))),"")</f>
        <v>10</v>
      </c>
      <c r="O30" s="129" t="str">
        <f>IFERROR(ROUND(N30*#REF!/10000,2),"")</f>
        <v/>
      </c>
      <c r="P30" s="178"/>
      <c r="Q30" s="153">
        <f t="shared" si="1"/>
        <v>0</v>
      </c>
      <c r="R30" s="153" t="str">
        <f t="shared" si="2"/>
        <v>AI视频平台私有化部署</v>
      </c>
      <c r="S30" s="153" t="str">
        <f t="shared" si="3"/>
        <v>项目管理审批</v>
      </c>
    </row>
    <row r="31" customHeight="1" spans="1:23">
      <c r="A31" s="129">
        <v>21</v>
      </c>
      <c r="B31" s="185"/>
      <c r="C31" s="185"/>
      <c r="D31" s="183" t="s">
        <v>102</v>
      </c>
      <c r="E31" s="183" t="s">
        <v>103</v>
      </c>
      <c r="F31" s="129" t="s">
        <v>69</v>
      </c>
      <c r="G31" s="129" t="s">
        <v>70</v>
      </c>
      <c r="H31" s="178" t="s">
        <v>51</v>
      </c>
      <c r="I31" s="129">
        <f>IFERROR(VLOOKUP(G31,工作量标准!$C:$D,2,0)*IF(IFERROR(FIND("A级",H31),0)&gt;0,1,IF(IFERROR(FIND("B级",H31),0)&gt;0,3,IF(IFERROR(FIND("C级",H31),0)&gt;0,5,IF(IFERROR(FIND("D级",H31),0)&gt;0,8,1)))),"")</f>
        <v>32</v>
      </c>
      <c r="J31" s="129" t="str">
        <f>IFERROR(ROUND(I31*#REF!/10000,2),"")</f>
        <v/>
      </c>
      <c r="K31" s="184" t="s">
        <v>69</v>
      </c>
      <c r="L31" s="184" t="s">
        <v>70</v>
      </c>
      <c r="M31" s="184" t="s">
        <v>46</v>
      </c>
      <c r="N31" s="129">
        <f>IFERROR(VLOOKUP(L31,工作量标准!$C:$D,2,0)*IF(IFERROR(FIND("A级",M31),0)&gt;0,1,IF(IFERROR(FIND("B级",M31),0)&gt;0,3,IF(IFERROR(FIND("C级",M31),0)&gt;0,5,IF(IFERROR(FIND("D级",M31),0)&gt;0,8,1)))),"")</f>
        <v>20</v>
      </c>
      <c r="O31" s="129" t="str">
        <f>IFERROR(ROUND(N31*#REF!/10000,2),"")</f>
        <v/>
      </c>
      <c r="P31" s="178"/>
      <c r="Q31" s="153">
        <f t="shared" si="1"/>
        <v>12</v>
      </c>
      <c r="R31" s="153" t="str">
        <f t="shared" si="2"/>
        <v>AI视频平台私有化部署</v>
      </c>
      <c r="S31" s="153" t="str">
        <f t="shared" si="3"/>
        <v>项目管理审批</v>
      </c>
    </row>
    <row r="32" customHeight="1" spans="1:23">
      <c r="A32" s="129">
        <v>22</v>
      </c>
      <c r="B32" s="185"/>
      <c r="C32" s="185"/>
      <c r="D32" s="183" t="s">
        <v>104</v>
      </c>
      <c r="E32" s="183" t="s">
        <v>105</v>
      </c>
      <c r="F32" s="129" t="s">
        <v>61</v>
      </c>
      <c r="G32" s="129" t="s">
        <v>62</v>
      </c>
      <c r="H32" s="178" t="s">
        <v>51</v>
      </c>
      <c r="I32" s="129">
        <f>IFERROR(VLOOKUP(G32,工作量标准!$C:$D,2,0)*IF(IFERROR(FIND("A级",H32),0)&gt;0,1,IF(IFERROR(FIND("B级",H32),0)&gt;0,3,IF(IFERROR(FIND("C级",H32),0)&gt;0,5,IF(IFERROR(FIND("D级",H32),0)&gt;0,8,1)))),"")</f>
        <v>16</v>
      </c>
      <c r="J32" s="129" t="str">
        <f>IFERROR(ROUND(I32*#REF!/10000,2),"")</f>
        <v/>
      </c>
      <c r="K32" s="184" t="s">
        <v>61</v>
      </c>
      <c r="L32" s="184" t="s">
        <v>62</v>
      </c>
      <c r="M32" s="184" t="s">
        <v>46</v>
      </c>
      <c r="N32" s="129">
        <f>IFERROR(VLOOKUP(L32,工作量标准!$C:$D,2,0)*IF(IFERROR(FIND("A级",M32),0)&gt;0,1,IF(IFERROR(FIND("B级",M32),0)&gt;0,3,IF(IFERROR(FIND("C级",M32),0)&gt;0,5,IF(IFERROR(FIND("D级",M32),0)&gt;0,8,1)))),"")</f>
        <v>10</v>
      </c>
      <c r="O32" s="129" t="str">
        <f>IFERROR(ROUND(N32*#REF!/10000,2),"")</f>
        <v/>
      </c>
      <c r="P32" s="178"/>
      <c r="Q32" s="153">
        <f t="shared" si="1"/>
        <v>6</v>
      </c>
      <c r="R32" s="153" t="str">
        <f t="shared" si="2"/>
        <v>AI视频平台私有化部署</v>
      </c>
      <c r="S32" s="153" t="str">
        <f t="shared" si="3"/>
        <v>项目管理审批</v>
      </c>
    </row>
    <row r="33" customHeight="1" spans="1:19">
      <c r="A33" s="129">
        <v>23</v>
      </c>
      <c r="B33" s="185"/>
      <c r="C33" s="186"/>
      <c r="D33" s="183" t="s">
        <v>106</v>
      </c>
      <c r="E33" s="183" t="s">
        <v>107</v>
      </c>
      <c r="F33" s="129" t="s">
        <v>78</v>
      </c>
      <c r="G33" s="129" t="s">
        <v>79</v>
      </c>
      <c r="H33" s="178" t="s">
        <v>46</v>
      </c>
      <c r="I33" s="129">
        <f>IFERROR(VLOOKUP(G33,工作量标准!$C:$D,2,0)*IF(IFERROR(FIND("A级",H33),0)&gt;0,1,IF(IFERROR(FIND("B级",H33),0)&gt;0,3,IF(IFERROR(FIND("C级",H33),0)&gt;0,5,IF(IFERROR(FIND("D级",H33),0)&gt;0,8,1)))),"")</f>
        <v>20</v>
      </c>
      <c r="J33" s="129" t="str">
        <f>IFERROR(ROUND(I33*#REF!/10000,2),"")</f>
        <v/>
      </c>
      <c r="K33" s="184" t="s">
        <v>78</v>
      </c>
      <c r="L33" s="184" t="s">
        <v>79</v>
      </c>
      <c r="M33" s="184" t="s">
        <v>46</v>
      </c>
      <c r="N33" s="129">
        <f>IFERROR(VLOOKUP(L33,工作量标准!$C:$D,2,0)*IF(IFERROR(FIND("A级",M33),0)&gt;0,1,IF(IFERROR(FIND("B级",M33),0)&gt;0,3,IF(IFERROR(FIND("C级",M33),0)&gt;0,5,IF(IFERROR(FIND("D级",M33),0)&gt;0,8,1)))),"")</f>
        <v>20</v>
      </c>
      <c r="O33" s="129" t="str">
        <f>IFERROR(ROUND(N33*#REF!/10000,2),"")</f>
        <v/>
      </c>
      <c r="P33" s="178"/>
      <c r="Q33" s="153">
        <f t="shared" si="1"/>
        <v>0</v>
      </c>
      <c r="R33" s="153" t="str">
        <f t="shared" si="2"/>
        <v>AI视频平台私有化部署</v>
      </c>
      <c r="S33" s="153" t="str">
        <f t="shared" si="3"/>
        <v>项目管理审批</v>
      </c>
    </row>
    <row r="34" customHeight="1" spans="1:19">
      <c r="A34" s="129">
        <v>24</v>
      </c>
      <c r="B34" s="185"/>
      <c r="C34" s="182" t="s">
        <v>108</v>
      </c>
      <c r="D34" s="183" t="s">
        <v>109</v>
      </c>
      <c r="E34" s="183" t="s">
        <v>110</v>
      </c>
      <c r="F34" s="129" t="s">
        <v>78</v>
      </c>
      <c r="G34" s="129" t="s">
        <v>111</v>
      </c>
      <c r="H34" s="178" t="s">
        <v>51</v>
      </c>
      <c r="I34" s="129">
        <f>IFERROR(VLOOKUP(G34,工作量标准!$C:$D,2,0)*IF(IFERROR(FIND("A级",H34),0)&gt;0,1,IF(IFERROR(FIND("B级",H34),0)&gt;0,3,IF(IFERROR(FIND("C级",H34),0)&gt;0,5,IF(IFERROR(FIND("D级",H34),0)&gt;0,8,1)))),"")</f>
        <v>16</v>
      </c>
      <c r="J34" s="129" t="str">
        <f>IFERROR(ROUND(I34*#REF!/10000,2),"")</f>
        <v/>
      </c>
      <c r="K34" s="184" t="s">
        <v>78</v>
      </c>
      <c r="L34" s="184" t="s">
        <v>111</v>
      </c>
      <c r="M34" s="184" t="s">
        <v>46</v>
      </c>
      <c r="N34" s="129">
        <f>IFERROR(VLOOKUP(L34,工作量标准!$C:$D,2,0)*IF(IFERROR(FIND("A级",M34),0)&gt;0,1,IF(IFERROR(FIND("B级",M34),0)&gt;0,3,IF(IFERROR(FIND("C级",M34),0)&gt;0,5,IF(IFERROR(FIND("D级",M34),0)&gt;0,8,1)))),"")</f>
        <v>10</v>
      </c>
      <c r="O34" s="129" t="str">
        <f>IFERROR(ROUND(N34*#REF!/10000,2),"")</f>
        <v/>
      </c>
      <c r="P34" s="178"/>
      <c r="Q34" s="153">
        <f t="shared" si="1"/>
        <v>6</v>
      </c>
      <c r="R34" s="153" t="str">
        <f t="shared" si="2"/>
        <v>AI视频平台私有化部署</v>
      </c>
      <c r="S34" s="153" t="str">
        <f t="shared" si="3"/>
        <v>用户管理</v>
      </c>
    </row>
    <row r="35" customHeight="1" spans="1:19">
      <c r="A35" s="129">
        <v>25</v>
      </c>
      <c r="B35" s="185"/>
      <c r="C35" s="185"/>
      <c r="D35" s="183" t="s">
        <v>112</v>
      </c>
      <c r="E35" s="183" t="s">
        <v>113</v>
      </c>
      <c r="F35" s="129" t="s">
        <v>61</v>
      </c>
      <c r="G35" s="129" t="s">
        <v>62</v>
      </c>
      <c r="H35" s="178" t="s">
        <v>46</v>
      </c>
      <c r="I35" s="129">
        <f>IFERROR(VLOOKUP(G35,工作量标准!$C:$D,2,0)*IF(IFERROR(FIND("A级",H35),0)&gt;0,1,IF(IFERROR(FIND("B级",H35),0)&gt;0,3,IF(IFERROR(FIND("C级",H35),0)&gt;0,5,IF(IFERROR(FIND("D级",H35),0)&gt;0,8,1)))),"")</f>
        <v>10</v>
      </c>
      <c r="J35" s="129" t="str">
        <f>IFERROR(ROUND(I35*#REF!/10000,2),"")</f>
        <v/>
      </c>
      <c r="K35" s="184" t="s">
        <v>61</v>
      </c>
      <c r="L35" s="184" t="s">
        <v>62</v>
      </c>
      <c r="M35" s="184" t="s">
        <v>47</v>
      </c>
      <c r="N35" s="129">
        <f>IFERROR(VLOOKUP(L35,工作量标准!$C:$D,2,0)*IF(IFERROR(FIND("A级",M35),0)&gt;0,1,IF(IFERROR(FIND("B级",M35),0)&gt;0,3,IF(IFERROR(FIND("C级",M35),0)&gt;0,5,IF(IFERROR(FIND("D级",M35),0)&gt;0,8,1)))),"")</f>
        <v>6</v>
      </c>
      <c r="O35" s="129" t="str">
        <f>IFERROR(ROUND(N35*#REF!/10000,2),"")</f>
        <v/>
      </c>
      <c r="P35" s="178"/>
      <c r="Q35" s="153">
        <f t="shared" si="1"/>
        <v>4</v>
      </c>
      <c r="R35" s="153" t="str">
        <f t="shared" si="2"/>
        <v>AI视频平台私有化部署</v>
      </c>
      <c r="S35" s="153" t="str">
        <f t="shared" si="3"/>
        <v>用户管理</v>
      </c>
    </row>
    <row r="36" customHeight="1" spans="1:19">
      <c r="A36" s="129">
        <v>26</v>
      </c>
      <c r="B36" s="185"/>
      <c r="C36" s="185"/>
      <c r="D36" s="183" t="s">
        <v>114</v>
      </c>
      <c r="E36" s="183" t="s">
        <v>115</v>
      </c>
      <c r="F36" s="129" t="s">
        <v>67</v>
      </c>
      <c r="G36" s="129" t="s">
        <v>68</v>
      </c>
      <c r="H36" s="178" t="s">
        <v>51</v>
      </c>
      <c r="I36" s="129">
        <f>IFERROR(VLOOKUP(G36,工作量标准!$C:$D,2,0)*IF(IFERROR(FIND("A级",H36),0)&gt;0,1,IF(IFERROR(FIND("B级",H36),0)&gt;0,3,IF(IFERROR(FIND("C级",H36),0)&gt;0,5,IF(IFERROR(FIND("D级",H36),0)&gt;0,8,1)))),"")</f>
        <v>32</v>
      </c>
      <c r="J36" s="129" t="str">
        <f>IFERROR(ROUND(I36*#REF!/10000,2),"")</f>
        <v/>
      </c>
      <c r="K36" s="184" t="s">
        <v>69</v>
      </c>
      <c r="L36" s="184" t="s">
        <v>70</v>
      </c>
      <c r="M36" s="184" t="s">
        <v>46</v>
      </c>
      <c r="N36" s="129">
        <f>IFERROR(VLOOKUP(L36,工作量标准!$C:$D,2,0)*IF(IFERROR(FIND("A级",M36),0)&gt;0,1,IF(IFERROR(FIND("B级",M36),0)&gt;0,3,IF(IFERROR(FIND("C级",M36),0)&gt;0,5,IF(IFERROR(FIND("D级",M36),0)&gt;0,8,1)))),"")</f>
        <v>20</v>
      </c>
      <c r="O36" s="129" t="str">
        <f>IFERROR(ROUND(N36*#REF!/10000,2),"")</f>
        <v/>
      </c>
      <c r="P36" s="178"/>
      <c r="Q36" s="153">
        <f t="shared" si="1"/>
        <v>12</v>
      </c>
      <c r="R36" s="153" t="str">
        <f t="shared" si="2"/>
        <v>AI视频平台私有化部署</v>
      </c>
      <c r="S36" s="153" t="str">
        <f t="shared" si="3"/>
        <v>用户管理</v>
      </c>
    </row>
    <row r="37" customHeight="1" spans="1:19">
      <c r="A37" s="129">
        <v>27</v>
      </c>
      <c r="B37" s="185"/>
      <c r="C37" s="186"/>
      <c r="D37" s="183" t="s">
        <v>116</v>
      </c>
      <c r="E37" s="183" t="s">
        <v>117</v>
      </c>
      <c r="F37" s="129" t="s">
        <v>61</v>
      </c>
      <c r="G37" s="129" t="s">
        <v>62</v>
      </c>
      <c r="H37" s="178" t="s">
        <v>47</v>
      </c>
      <c r="I37" s="129">
        <f>IFERROR(VLOOKUP(G37,工作量标准!$C:$D,2,0)*IF(IFERROR(FIND("A级",H37),0)&gt;0,1,IF(IFERROR(FIND("B级",H37),0)&gt;0,3,IF(IFERROR(FIND("C级",H37),0)&gt;0,5,IF(IFERROR(FIND("D级",H37),0)&gt;0,8,1)))),"")</f>
        <v>6</v>
      </c>
      <c r="J37" s="129" t="str">
        <f>IFERROR(ROUND(I37*#REF!/10000,2),"")</f>
        <v/>
      </c>
      <c r="K37" s="184" t="s">
        <v>61</v>
      </c>
      <c r="L37" s="184" t="s">
        <v>62</v>
      </c>
      <c r="M37" s="184" t="s">
        <v>47</v>
      </c>
      <c r="N37" s="129">
        <f>IFERROR(VLOOKUP(L37,工作量标准!$C:$D,2,0)*IF(IFERROR(FIND("A级",M37),0)&gt;0,1,IF(IFERROR(FIND("B级",M37),0)&gt;0,3,IF(IFERROR(FIND("C级",M37),0)&gt;0,5,IF(IFERROR(FIND("D级",M37),0)&gt;0,8,1)))),"")</f>
        <v>6</v>
      </c>
      <c r="O37" s="129" t="str">
        <f>IFERROR(ROUND(N37*#REF!/10000,2),"")</f>
        <v/>
      </c>
      <c r="P37" s="178"/>
      <c r="Q37" s="153">
        <f t="shared" si="1"/>
        <v>0</v>
      </c>
      <c r="R37" s="153" t="str">
        <f t="shared" si="2"/>
        <v>AI视频平台私有化部署</v>
      </c>
      <c r="S37" s="153" t="str">
        <f t="shared" si="3"/>
        <v>用户管理</v>
      </c>
    </row>
    <row r="38" customHeight="1" spans="1:19">
      <c r="A38" s="129">
        <v>28</v>
      </c>
      <c r="B38" s="185"/>
      <c r="C38" s="182" t="s">
        <v>118</v>
      </c>
      <c r="D38" s="183" t="s">
        <v>119</v>
      </c>
      <c r="E38" s="183" t="s">
        <v>120</v>
      </c>
      <c r="F38" s="129" t="s">
        <v>61</v>
      </c>
      <c r="G38" s="129" t="s">
        <v>62</v>
      </c>
      <c r="H38" s="178" t="s">
        <v>51</v>
      </c>
      <c r="I38" s="129">
        <f>IFERROR(VLOOKUP(G38,工作量标准!$C:$D,2,0)*IF(IFERROR(FIND("A级",H38),0)&gt;0,1,IF(IFERROR(FIND("B级",H38),0)&gt;0,3,IF(IFERROR(FIND("C级",H38),0)&gt;0,5,IF(IFERROR(FIND("D级",H38),0)&gt;0,8,1)))),"")</f>
        <v>16</v>
      </c>
      <c r="J38" s="129" t="str">
        <f>IFERROR(ROUND(I38*#REF!/10000,2),"")</f>
        <v/>
      </c>
      <c r="K38" s="184" t="s">
        <v>61</v>
      </c>
      <c r="L38" s="184" t="s">
        <v>62</v>
      </c>
      <c r="M38" s="184" t="s">
        <v>46</v>
      </c>
      <c r="N38" s="129">
        <f>IFERROR(VLOOKUP(L38,工作量标准!$C:$D,2,0)*IF(IFERROR(FIND("A级",M38),0)&gt;0,1,IF(IFERROR(FIND("B级",M38),0)&gt;0,3,IF(IFERROR(FIND("C级",M38),0)&gt;0,5,IF(IFERROR(FIND("D级",M38),0)&gt;0,8,1)))),"")</f>
        <v>10</v>
      </c>
      <c r="O38" s="129" t="str">
        <f>IFERROR(ROUND(N38*#REF!/10000,2),"")</f>
        <v/>
      </c>
      <c r="P38" s="178"/>
      <c r="Q38" s="153">
        <f t="shared" si="1"/>
        <v>6</v>
      </c>
      <c r="R38" s="153" t="str">
        <f t="shared" si="2"/>
        <v>AI视频平台私有化部署</v>
      </c>
      <c r="S38" s="153" t="str">
        <f t="shared" si="3"/>
        <v>运维管理</v>
      </c>
    </row>
    <row r="39" customHeight="1" spans="1:19">
      <c r="A39" s="129">
        <v>29</v>
      </c>
      <c r="B39" s="185"/>
      <c r="C39" s="185"/>
      <c r="D39" s="183" t="s">
        <v>121</v>
      </c>
      <c r="E39" s="183" t="s">
        <v>122</v>
      </c>
      <c r="F39" s="129" t="s">
        <v>67</v>
      </c>
      <c r="G39" s="129" t="s">
        <v>68</v>
      </c>
      <c r="H39" s="178" t="s">
        <v>46</v>
      </c>
      <c r="I39" s="129">
        <f>IFERROR(VLOOKUP(G39,工作量标准!$C:$D,2,0)*IF(IFERROR(FIND("A级",H39),0)&gt;0,1,IF(IFERROR(FIND("B级",H39),0)&gt;0,3,IF(IFERROR(FIND("C级",H39),0)&gt;0,5,IF(IFERROR(FIND("D级",H39),0)&gt;0,8,1)))),"")</f>
        <v>20</v>
      </c>
      <c r="J39" s="129" t="str">
        <f>IFERROR(ROUND(I39*#REF!/10000,2),"")</f>
        <v/>
      </c>
      <c r="K39" s="184" t="s">
        <v>69</v>
      </c>
      <c r="L39" s="184" t="s">
        <v>70</v>
      </c>
      <c r="M39" s="184" t="s">
        <v>47</v>
      </c>
      <c r="N39" s="129">
        <f>IFERROR(VLOOKUP(L39,工作量标准!$C:$D,2,0)*IF(IFERROR(FIND("A级",M39),0)&gt;0,1,IF(IFERROR(FIND("B级",M39),0)&gt;0,3,IF(IFERROR(FIND("C级",M39),0)&gt;0,5,IF(IFERROR(FIND("D级",M39),0)&gt;0,8,1)))),"")</f>
        <v>12</v>
      </c>
      <c r="O39" s="129" t="str">
        <f>IFERROR(ROUND(N39*#REF!/10000,2),"")</f>
        <v/>
      </c>
      <c r="P39" s="178"/>
      <c r="Q39" s="153">
        <f t="shared" si="1"/>
        <v>8</v>
      </c>
      <c r="R39" s="153" t="str">
        <f t="shared" si="2"/>
        <v>AI视频平台私有化部署</v>
      </c>
      <c r="S39" s="153" t="str">
        <f t="shared" si="3"/>
        <v>运维管理</v>
      </c>
    </row>
    <row r="40" customHeight="1" spans="1:19">
      <c r="A40" s="129">
        <v>30</v>
      </c>
      <c r="B40" s="185"/>
      <c r="C40" s="185"/>
      <c r="D40" s="183" t="s">
        <v>123</v>
      </c>
      <c r="E40" s="183" t="s">
        <v>124</v>
      </c>
      <c r="F40" s="187" t="s">
        <v>67</v>
      </c>
      <c r="G40" s="187" t="s">
        <v>68</v>
      </c>
      <c r="H40" s="187" t="s">
        <v>46</v>
      </c>
      <c r="I40" s="129">
        <f>IFERROR(VLOOKUP(G40,工作量标准!$C:$D,2,0)*IF(IFERROR(FIND("A级",H40),0)&gt;0,1,IF(IFERROR(FIND("B级",H40),0)&gt;0,3,IF(IFERROR(FIND("C级",H40),0)&gt;0,5,IF(IFERROR(FIND("D级",H40),0)&gt;0,8,1)))),"")</f>
        <v>20</v>
      </c>
      <c r="J40" s="129" t="str">
        <f>IFERROR(ROUND(I40*#REF!/10000,2),"")</f>
        <v/>
      </c>
      <c r="K40" s="184" t="s">
        <v>125</v>
      </c>
      <c r="L40" s="184" t="s">
        <v>126</v>
      </c>
      <c r="M40" s="184" t="s">
        <v>47</v>
      </c>
      <c r="N40" s="129">
        <f>IFERROR(VLOOKUP(L40,工作量标准!$C:$D,2,0)*IF(IFERROR(FIND("A级",M40),0)&gt;0,1,IF(IFERROR(FIND("B级",M40),0)&gt;0,3,IF(IFERROR(FIND("C级",M40),0)&gt;0,5,IF(IFERROR(FIND("D级",M40),0)&gt;0,8,1)))),"")</f>
        <v>6</v>
      </c>
      <c r="O40" s="129" t="str">
        <f>IFERROR(ROUND(N40*#REF!/10000,2),"")</f>
        <v/>
      </c>
      <c r="P40" s="178"/>
      <c r="Q40" s="153">
        <f t="shared" si="1"/>
        <v>14</v>
      </c>
      <c r="R40" s="153" t="str">
        <f t="shared" si="2"/>
        <v>AI视频平台私有化部署</v>
      </c>
      <c r="S40" s="153" t="str">
        <f t="shared" si="3"/>
        <v>运维管理</v>
      </c>
    </row>
    <row r="41" customHeight="1" spans="1:19">
      <c r="A41" s="129">
        <v>31</v>
      </c>
      <c r="B41" s="185"/>
      <c r="C41" s="186"/>
      <c r="D41" s="183" t="s">
        <v>127</v>
      </c>
      <c r="E41" s="183" t="s">
        <v>128</v>
      </c>
      <c r="F41" s="188" t="s">
        <v>67</v>
      </c>
      <c r="G41" s="187" t="s">
        <v>68</v>
      </c>
      <c r="H41" s="187" t="s">
        <v>51</v>
      </c>
      <c r="I41" s="129">
        <f>IFERROR(VLOOKUP(G41,工作量标准!$C:$D,2,0)*IF(IFERROR(FIND("A级",H41),0)&gt;0,1,IF(IFERROR(FIND("B级",H41),0)&gt;0,3,IF(IFERROR(FIND("C级",H41),0)&gt;0,5,IF(IFERROR(FIND("D级",H41),0)&gt;0,8,1)))),"")</f>
        <v>32</v>
      </c>
      <c r="J41" s="129" t="str">
        <f>IFERROR(ROUND(I41*#REF!/10000,2),"")</f>
        <v/>
      </c>
      <c r="K41" s="184" t="s">
        <v>125</v>
      </c>
      <c r="L41" s="184" t="s">
        <v>129</v>
      </c>
      <c r="M41" s="184" t="s">
        <v>46</v>
      </c>
      <c r="N41" s="129">
        <f>IFERROR(VLOOKUP(L41,工作量标准!$C:$D,2,0)*IF(IFERROR(FIND("A级",M41),0)&gt;0,1,IF(IFERROR(FIND("B级",M41),0)&gt;0,3,IF(IFERROR(FIND("C级",M41),0)&gt;0,5,IF(IFERROR(FIND("D级",M41),0)&gt;0,8,1)))),"")</f>
        <v>5</v>
      </c>
      <c r="O41" s="129" t="str">
        <f>IFERROR(ROUND(N41*#REF!/10000,2),"")</f>
        <v/>
      </c>
      <c r="P41" s="178"/>
      <c r="Q41" s="153">
        <f t="shared" si="1"/>
        <v>27</v>
      </c>
      <c r="R41" s="153" t="str">
        <f t="shared" si="2"/>
        <v>AI视频平台私有化部署</v>
      </c>
      <c r="S41" s="153" t="str">
        <f t="shared" si="3"/>
        <v>运维管理</v>
      </c>
    </row>
    <row r="42" customHeight="1" spans="1:19">
      <c r="A42" s="129">
        <v>32</v>
      </c>
      <c r="B42" s="185"/>
      <c r="C42" s="182" t="s">
        <v>130</v>
      </c>
      <c r="D42" s="183" t="s">
        <v>131</v>
      </c>
      <c r="E42" s="183" t="s">
        <v>132</v>
      </c>
      <c r="F42" s="188" t="s">
        <v>44</v>
      </c>
      <c r="G42" s="187" t="s">
        <v>50</v>
      </c>
      <c r="H42" s="187" t="s">
        <v>51</v>
      </c>
      <c r="I42" s="129">
        <f>IFERROR(VLOOKUP(G42,工作量标准!$C:$D,2,0)*IF(IFERROR(FIND("A级",H42),0)&gt;0,1,IF(IFERROR(FIND("B级",H42),0)&gt;0,3,IF(IFERROR(FIND("C级",H42),0)&gt;0,5,IF(IFERROR(FIND("D级",H42),0)&gt;0,8,1)))),"")</f>
        <v>8</v>
      </c>
      <c r="J42" s="129" t="str">
        <f>IFERROR(ROUND(I42*#REF!/10000,2),"")</f>
        <v/>
      </c>
      <c r="K42" s="184" t="s">
        <v>44</v>
      </c>
      <c r="L42" s="184" t="s">
        <v>50</v>
      </c>
      <c r="M42" s="184" t="s">
        <v>46</v>
      </c>
      <c r="N42" s="129">
        <f>IFERROR(VLOOKUP(L42,工作量标准!$C:$D,2,0)*IF(IFERROR(FIND("A级",M42),0)&gt;0,1,IF(IFERROR(FIND("B级",M42),0)&gt;0,3,IF(IFERROR(FIND("C级",M42),0)&gt;0,5,IF(IFERROR(FIND("D级",M42),0)&gt;0,8,1)))),"")</f>
        <v>5</v>
      </c>
      <c r="O42" s="129" t="str">
        <f>IFERROR(ROUND(N42*#REF!/10000,2),"")</f>
        <v/>
      </c>
      <c r="P42" s="178"/>
      <c r="Q42" s="153">
        <f t="shared" si="1"/>
        <v>3</v>
      </c>
      <c r="R42" s="153" t="str">
        <f t="shared" si="2"/>
        <v>AI视频平台私有化部署</v>
      </c>
      <c r="S42" s="153" t="str">
        <f t="shared" si="3"/>
        <v>安全加固测试</v>
      </c>
    </row>
    <row r="43" customHeight="1" spans="1:19">
      <c r="A43" s="129">
        <v>33</v>
      </c>
      <c r="B43" s="185"/>
      <c r="C43" s="185"/>
      <c r="D43" s="189" t="s">
        <v>133</v>
      </c>
      <c r="E43" s="183" t="s">
        <v>134</v>
      </c>
      <c r="F43" s="188" t="s">
        <v>67</v>
      </c>
      <c r="G43" s="187" t="s">
        <v>68</v>
      </c>
      <c r="H43" s="187" t="s">
        <v>46</v>
      </c>
      <c r="I43" s="129">
        <f>IFERROR(VLOOKUP(G43,工作量标准!$C:$D,2,0)*IF(IFERROR(FIND("A级",H43),0)&gt;0,1,IF(IFERROR(FIND("B级",H43),0)&gt;0,3,IF(IFERROR(FIND("C级",H43),0)&gt;0,5,IF(IFERROR(FIND("D级",H43),0)&gt;0,8,1)))),"")</f>
        <v>20</v>
      </c>
      <c r="J43" s="129" t="str">
        <f>IFERROR(ROUND(I43*#REF!/10000,2),"")</f>
        <v/>
      </c>
      <c r="K43" s="184" t="s">
        <v>44</v>
      </c>
      <c r="L43" s="184" t="s">
        <v>54</v>
      </c>
      <c r="M43" s="184" t="s">
        <v>46</v>
      </c>
      <c r="N43" s="129">
        <f>IFERROR(VLOOKUP(L43,工作量标准!$C:$D,2,0)*IF(IFERROR(FIND("A级",M43),0)&gt;0,1,IF(IFERROR(FIND("B级",M43),0)&gt;0,3,IF(IFERROR(FIND("C级",M43),0)&gt;0,5,IF(IFERROR(FIND("D级",M43),0)&gt;0,8,1)))),"")</f>
        <v>5</v>
      </c>
      <c r="O43" s="129" t="str">
        <f>IFERROR(ROUND(N43*#REF!/10000,2),"")</f>
        <v/>
      </c>
      <c r="P43" s="178"/>
      <c r="Q43" s="153">
        <f t="shared" si="1"/>
        <v>15</v>
      </c>
      <c r="R43" s="153" t="str">
        <f t="shared" si="2"/>
        <v>AI视频平台私有化部署</v>
      </c>
      <c r="S43" s="153" t="str">
        <f t="shared" si="3"/>
        <v>安全加固测试</v>
      </c>
    </row>
    <row r="44" customHeight="1" spans="1:19">
      <c r="A44" s="129">
        <v>34</v>
      </c>
      <c r="B44" s="185"/>
      <c r="C44" s="185"/>
      <c r="D44" s="189" t="s">
        <v>135</v>
      </c>
      <c r="E44" s="183" t="s">
        <v>136</v>
      </c>
      <c r="F44" s="188" t="s">
        <v>44</v>
      </c>
      <c r="G44" s="187" t="s">
        <v>50</v>
      </c>
      <c r="H44" s="187" t="s">
        <v>46</v>
      </c>
      <c r="I44" s="129">
        <f>IFERROR(VLOOKUP(G44,工作量标准!$C:$D,2,0)*IF(IFERROR(FIND("A级",H44),0)&gt;0,1,IF(IFERROR(FIND("B级",H44),0)&gt;0,3,IF(IFERROR(FIND("C级",H44),0)&gt;0,5,IF(IFERROR(FIND("D级",H44),0)&gt;0,8,1)))),"")</f>
        <v>5</v>
      </c>
      <c r="J44" s="129" t="str">
        <f>IFERROR(ROUND(I44*#REF!/10000,2),"")</f>
        <v/>
      </c>
      <c r="K44" s="184" t="s">
        <v>44</v>
      </c>
      <c r="L44" s="184" t="s">
        <v>50</v>
      </c>
      <c r="M44" s="184" t="s">
        <v>47</v>
      </c>
      <c r="N44" s="129">
        <f>IFERROR(VLOOKUP(L44,工作量标准!$C:$D,2,0)*IF(IFERROR(FIND("A级",M44),0)&gt;0,1,IF(IFERROR(FIND("B级",M44),0)&gt;0,3,IF(IFERROR(FIND("C级",M44),0)&gt;0,5,IF(IFERROR(FIND("D级",M44),0)&gt;0,8,1)))),"")</f>
        <v>3</v>
      </c>
      <c r="O44" s="129" t="str">
        <f>IFERROR(ROUND(N44*#REF!/10000,2),"")</f>
        <v/>
      </c>
      <c r="P44" s="178"/>
      <c r="Q44" s="153">
        <f t="shared" si="1"/>
        <v>2</v>
      </c>
      <c r="R44" s="153" t="str">
        <f t="shared" si="2"/>
        <v>AI视频平台私有化部署</v>
      </c>
      <c r="S44" s="153" t="str">
        <f t="shared" si="3"/>
        <v>安全加固测试</v>
      </c>
    </row>
    <row r="45" customHeight="1" spans="1:19">
      <c r="A45" s="129">
        <v>35</v>
      </c>
      <c r="B45" s="185"/>
      <c r="C45" s="186"/>
      <c r="D45" s="189" t="s">
        <v>137</v>
      </c>
      <c r="E45" s="183" t="s">
        <v>138</v>
      </c>
      <c r="F45" s="188" t="s">
        <v>139</v>
      </c>
      <c r="G45" s="187" t="s">
        <v>140</v>
      </c>
      <c r="H45" s="187" t="s">
        <v>46</v>
      </c>
      <c r="I45" s="129">
        <f>IFERROR(VLOOKUP(G45,工作量标准!$C:$D,2,0)*IF(IFERROR(FIND("A级",H45),0)&gt;0,1,IF(IFERROR(FIND("B级",H45),0)&gt;0,3,IF(IFERROR(FIND("C级",H45),0)&gt;0,5,IF(IFERROR(FIND("D级",H45),0)&gt;0,8,1)))),"")</f>
        <v>35</v>
      </c>
      <c r="J45" s="129" t="str">
        <f>IFERROR(ROUND(I45*#REF!/10000,2),"")</f>
        <v/>
      </c>
      <c r="K45" s="184" t="s">
        <v>139</v>
      </c>
      <c r="L45" s="184" t="s">
        <v>140</v>
      </c>
      <c r="M45" s="184" t="s">
        <v>46</v>
      </c>
      <c r="N45" s="129">
        <f>IFERROR(VLOOKUP(L45,工作量标准!$C:$D,2,0)*IF(IFERROR(FIND("A级",M45),0)&gt;0,1,IF(IFERROR(FIND("B级",M45),0)&gt;0,3,IF(IFERROR(FIND("C级",M45),0)&gt;0,5,IF(IFERROR(FIND("D级",M45),0)&gt;0,8,1)))),"")</f>
        <v>35</v>
      </c>
      <c r="O45" s="129" t="str">
        <f>IFERROR(ROUND(N45*#REF!/10000,2),"")</f>
        <v/>
      </c>
      <c r="P45" s="178"/>
      <c r="Q45" s="153">
        <f t="shared" si="1"/>
        <v>0</v>
      </c>
      <c r="R45" s="153" t="str">
        <f t="shared" si="2"/>
        <v>AI视频平台私有化部署</v>
      </c>
      <c r="S45" s="153" t="str">
        <f t="shared" si="3"/>
        <v>安全加固测试</v>
      </c>
    </row>
    <row r="46" customHeight="1" spans="1:19">
      <c r="A46" s="129">
        <v>36</v>
      </c>
      <c r="B46" s="185"/>
      <c r="C46" s="182" t="s">
        <v>141</v>
      </c>
      <c r="D46" s="183" t="s">
        <v>142</v>
      </c>
      <c r="E46" s="183" t="s">
        <v>143</v>
      </c>
      <c r="F46" s="187" t="s">
        <v>61</v>
      </c>
      <c r="G46" s="187" t="s">
        <v>62</v>
      </c>
      <c r="H46" s="187" t="s">
        <v>47</v>
      </c>
      <c r="I46" s="129">
        <f>IFERROR(VLOOKUP(G46,工作量标准!$C:$D,2,0)*IF(IFERROR(FIND("A级",H46),0)&gt;0,1,IF(IFERROR(FIND("B级",H46),0)&gt;0,3,IF(IFERROR(FIND("C级",H46),0)&gt;0,5,IF(IFERROR(FIND("D级",H46),0)&gt;0,8,1)))),"")</f>
        <v>6</v>
      </c>
      <c r="J46" s="129" t="str">
        <f>IFERROR(ROUND(I46*#REF!/10000,2),"")</f>
        <v/>
      </c>
      <c r="K46" s="184" t="s">
        <v>61</v>
      </c>
      <c r="L46" s="184" t="s">
        <v>62</v>
      </c>
      <c r="M46" s="184" t="s">
        <v>47</v>
      </c>
      <c r="N46" s="129">
        <f>IFERROR(VLOOKUP(L46,工作量标准!$C:$D,2,0)*IF(IFERROR(FIND("A级",M46),0)&gt;0,1,IF(IFERROR(FIND("B级",M46),0)&gt;0,3,IF(IFERROR(FIND("C级",M46),0)&gt;0,5,IF(IFERROR(FIND("D级",M46),0)&gt;0,8,1)))),"")</f>
        <v>6</v>
      </c>
      <c r="O46" s="129" t="str">
        <f>IFERROR(ROUND(N46*#REF!/10000,2),"")</f>
        <v/>
      </c>
      <c r="P46" s="178"/>
      <c r="Q46" s="153">
        <f t="shared" si="1"/>
        <v>0</v>
      </c>
      <c r="R46" s="153" t="str">
        <f t="shared" si="2"/>
        <v>AI视频平台私有化部署</v>
      </c>
      <c r="S46" s="153" t="str">
        <f t="shared" si="3"/>
        <v>OPC创业注册服务</v>
      </c>
    </row>
    <row r="47" customHeight="1" spans="1:19">
      <c r="A47" s="129">
        <v>37</v>
      </c>
      <c r="B47" s="185"/>
      <c r="C47" s="185"/>
      <c r="D47" s="183" t="s">
        <v>144</v>
      </c>
      <c r="E47" s="183" t="s">
        <v>145</v>
      </c>
      <c r="F47" s="187" t="s">
        <v>67</v>
      </c>
      <c r="G47" s="187" t="s">
        <v>68</v>
      </c>
      <c r="H47" s="187" t="s">
        <v>47</v>
      </c>
      <c r="I47" s="129">
        <f>IFERROR(VLOOKUP(G47,工作量标准!$C:$D,2,0)*IF(IFERROR(FIND("A级",H47),0)&gt;0,1,IF(IFERROR(FIND("B级",H47),0)&gt;0,3,IF(IFERROR(FIND("C级",H47),0)&gt;0,5,IF(IFERROR(FIND("D级",H47),0)&gt;0,8,1)))),"")</f>
        <v>12</v>
      </c>
      <c r="J47" s="129" t="str">
        <f>IFERROR(ROUND(I47*#REF!/10000,2),"")</f>
        <v/>
      </c>
      <c r="K47" s="184" t="s">
        <v>67</v>
      </c>
      <c r="L47" s="184" t="s">
        <v>68</v>
      </c>
      <c r="M47" s="184" t="s">
        <v>47</v>
      </c>
      <c r="N47" s="129">
        <f>IFERROR(VLOOKUP(L47,工作量标准!$C:$D,2,0)*IF(IFERROR(FIND("A级",M47),0)&gt;0,1,IF(IFERROR(FIND("B级",M47),0)&gt;0,3,IF(IFERROR(FIND("C级",M47),0)&gt;0,5,IF(IFERROR(FIND("D级",M47),0)&gt;0,8,1)))),"")</f>
        <v>12</v>
      </c>
      <c r="O47" s="129" t="str">
        <f>IFERROR(ROUND(N47*#REF!/10000,2),"")</f>
        <v/>
      </c>
      <c r="P47" s="178"/>
      <c r="Q47" s="153">
        <f t="shared" si="1"/>
        <v>0</v>
      </c>
      <c r="R47" s="153" t="str">
        <f t="shared" si="2"/>
        <v>AI视频平台私有化部署</v>
      </c>
      <c r="S47" s="153" t="str">
        <f t="shared" si="3"/>
        <v>OPC创业注册服务</v>
      </c>
    </row>
    <row r="48" customHeight="1" spans="1:19">
      <c r="A48" s="129">
        <v>38</v>
      </c>
      <c r="B48" s="185"/>
      <c r="C48" s="185"/>
      <c r="D48" s="183" t="s">
        <v>146</v>
      </c>
      <c r="E48" s="183" t="s">
        <v>147</v>
      </c>
      <c r="F48" s="187" t="s">
        <v>67</v>
      </c>
      <c r="G48" s="187" t="s">
        <v>68</v>
      </c>
      <c r="H48" s="187" t="s">
        <v>46</v>
      </c>
      <c r="I48" s="129">
        <f>IFERROR(VLOOKUP(G48,工作量标准!$C:$D,2,0)*IF(IFERROR(FIND("A级",H48),0)&gt;0,1,IF(IFERROR(FIND("B级",H48),0)&gt;0,3,IF(IFERROR(FIND("C级",H48),0)&gt;0,5,IF(IFERROR(FIND("D级",H48),0)&gt;0,8,1)))),"")</f>
        <v>20</v>
      </c>
      <c r="J48" s="129" t="str">
        <f>IFERROR(ROUND(I48*#REF!/10000,2),"")</f>
        <v/>
      </c>
      <c r="K48" s="184" t="s">
        <v>67</v>
      </c>
      <c r="L48" s="184" t="s">
        <v>68</v>
      </c>
      <c r="M48" s="184" t="s">
        <v>47</v>
      </c>
      <c r="N48" s="129">
        <f>IFERROR(VLOOKUP(L48,工作量标准!$C:$D,2,0)*IF(IFERROR(FIND("A级",M48),0)&gt;0,1,IF(IFERROR(FIND("B级",M48),0)&gt;0,3,IF(IFERROR(FIND("C级",M48),0)&gt;0,5,IF(IFERROR(FIND("D级",M48),0)&gt;0,8,1)))),"")</f>
        <v>12</v>
      </c>
      <c r="O48" s="129" t="str">
        <f>IFERROR(ROUND(N48*#REF!/10000,2),"")</f>
        <v/>
      </c>
      <c r="P48" s="178"/>
      <c r="Q48" s="153">
        <f t="shared" si="1"/>
        <v>8</v>
      </c>
      <c r="R48" s="153" t="str">
        <f t="shared" si="2"/>
        <v>AI视频平台私有化部署</v>
      </c>
      <c r="S48" s="153" t="str">
        <f t="shared" si="3"/>
        <v>OPC创业注册服务</v>
      </c>
    </row>
    <row r="49" customHeight="1" spans="1:19">
      <c r="A49" s="129">
        <v>39</v>
      </c>
      <c r="B49" s="185"/>
      <c r="C49" s="185"/>
      <c r="D49" s="183" t="s">
        <v>148</v>
      </c>
      <c r="E49" s="183" t="s">
        <v>149</v>
      </c>
      <c r="F49" s="188" t="s">
        <v>67</v>
      </c>
      <c r="G49" s="187" t="s">
        <v>68</v>
      </c>
      <c r="H49" s="187" t="s">
        <v>46</v>
      </c>
      <c r="I49" s="129">
        <f>IFERROR(VLOOKUP(G49,工作量标准!$C:$D,2,0)*IF(IFERROR(FIND("A级",H49),0)&gt;0,1,IF(IFERROR(FIND("B级",H49),0)&gt;0,3,IF(IFERROR(FIND("C级",H49),0)&gt;0,5,IF(IFERROR(FIND("D级",H49),0)&gt;0,8,1)))),"")</f>
        <v>20</v>
      </c>
      <c r="J49" s="129" t="str">
        <f>IFERROR(ROUND(I49*#REF!/10000,2),"")</f>
        <v/>
      </c>
      <c r="K49" s="184" t="s">
        <v>67</v>
      </c>
      <c r="L49" s="184" t="s">
        <v>68</v>
      </c>
      <c r="M49" s="184" t="s">
        <v>47</v>
      </c>
      <c r="N49" s="129">
        <f>IFERROR(VLOOKUP(L49,工作量标准!$C:$D,2,0)*IF(IFERROR(FIND("A级",M49),0)&gt;0,1,IF(IFERROR(FIND("B级",M49),0)&gt;0,3,IF(IFERROR(FIND("C级",M49),0)&gt;0,5,IF(IFERROR(FIND("D级",M49),0)&gt;0,8,1)))),"")</f>
        <v>12</v>
      </c>
      <c r="O49" s="129" t="str">
        <f>IFERROR(ROUND(N49*#REF!/10000,2),"")</f>
        <v/>
      </c>
      <c r="P49" s="178"/>
      <c r="Q49" s="153">
        <f t="shared" si="1"/>
        <v>8</v>
      </c>
      <c r="R49" s="153" t="str">
        <f t="shared" si="2"/>
        <v>AI视频平台私有化部署</v>
      </c>
      <c r="S49" s="153" t="str">
        <f t="shared" si="3"/>
        <v>OPC创业注册服务</v>
      </c>
    </row>
    <row r="50" customHeight="1" spans="1:19">
      <c r="A50" s="129">
        <v>40</v>
      </c>
      <c r="B50" s="185"/>
      <c r="C50" s="185"/>
      <c r="D50" s="183" t="s">
        <v>150</v>
      </c>
      <c r="E50" s="183" t="s">
        <v>151</v>
      </c>
      <c r="F50" s="187" t="s">
        <v>67</v>
      </c>
      <c r="G50" s="187" t="s">
        <v>68</v>
      </c>
      <c r="H50" s="187" t="s">
        <v>46</v>
      </c>
      <c r="I50" s="129">
        <f>IFERROR(VLOOKUP(G50,工作量标准!$C:$D,2,0)*IF(IFERROR(FIND("A级",H50),0)&gt;0,1,IF(IFERROR(FIND("B级",H50),0)&gt;0,3,IF(IFERROR(FIND("C级",H50),0)&gt;0,5,IF(IFERROR(FIND("D级",H50),0)&gt;0,8,1)))),"")</f>
        <v>20</v>
      </c>
      <c r="J50" s="129" t="str">
        <f>IFERROR(ROUND(I50*#REF!/10000,2),"")</f>
        <v/>
      </c>
      <c r="K50" s="184" t="s">
        <v>67</v>
      </c>
      <c r="L50" s="184" t="s">
        <v>68</v>
      </c>
      <c r="M50" s="184" t="s">
        <v>47</v>
      </c>
      <c r="N50" s="129">
        <f>IFERROR(VLOOKUP(L50,工作量标准!$C:$D,2,0)*IF(IFERROR(FIND("A级",M50),0)&gt;0,1,IF(IFERROR(FIND("B级",M50),0)&gt;0,3,IF(IFERROR(FIND("C级",M50),0)&gt;0,5,IF(IFERROR(FIND("D级",M50),0)&gt;0,8,1)))),"")</f>
        <v>12</v>
      </c>
      <c r="O50" s="129" t="str">
        <f>IFERROR(ROUND(N50*#REF!/10000,2),"")</f>
        <v/>
      </c>
      <c r="P50" s="178"/>
      <c r="Q50" s="153">
        <f t="shared" si="1"/>
        <v>8</v>
      </c>
      <c r="R50" s="153" t="str">
        <f t="shared" si="2"/>
        <v>AI视频平台私有化部署</v>
      </c>
      <c r="S50" s="153" t="str">
        <f t="shared" si="3"/>
        <v>OPC创业注册服务</v>
      </c>
    </row>
    <row r="51" customHeight="1" spans="1:19">
      <c r="A51" s="129">
        <v>41</v>
      </c>
      <c r="B51" s="185"/>
      <c r="C51" s="185"/>
      <c r="D51" s="183" t="s">
        <v>152</v>
      </c>
      <c r="E51" s="183" t="s">
        <v>153</v>
      </c>
      <c r="F51" s="187" t="s">
        <v>67</v>
      </c>
      <c r="G51" s="187" t="s">
        <v>68</v>
      </c>
      <c r="H51" s="187" t="s">
        <v>47</v>
      </c>
      <c r="I51" s="129">
        <f>IFERROR(VLOOKUP(G51,工作量标准!$C:$D,2,0)*IF(IFERROR(FIND("A级",H51),0)&gt;0,1,IF(IFERROR(FIND("B级",H51),0)&gt;0,3,IF(IFERROR(FIND("C级",H51),0)&gt;0,5,IF(IFERROR(FIND("D级",H51),0)&gt;0,8,1)))),"")</f>
        <v>12</v>
      </c>
      <c r="J51" s="129" t="str">
        <f>IFERROR(ROUND(I51*#REF!/10000,2),"")</f>
        <v/>
      </c>
      <c r="K51" s="184" t="s">
        <v>125</v>
      </c>
      <c r="L51" s="184" t="s">
        <v>154</v>
      </c>
      <c r="M51" s="184" t="s">
        <v>47</v>
      </c>
      <c r="N51" s="129">
        <f>IFERROR(VLOOKUP(L51,工作量标准!$C:$D,2,0)*IF(IFERROR(FIND("A级",M51),0)&gt;0,1,IF(IFERROR(FIND("B级",M51),0)&gt;0,3,IF(IFERROR(FIND("C级",M51),0)&gt;0,5,IF(IFERROR(FIND("D级",M51),0)&gt;0,8,1)))),"")</f>
        <v>6</v>
      </c>
      <c r="O51" s="129" t="str">
        <f>IFERROR(ROUND(N51*#REF!/10000,2),"")</f>
        <v/>
      </c>
      <c r="P51" s="178"/>
      <c r="Q51" s="153">
        <f t="shared" si="1"/>
        <v>6</v>
      </c>
      <c r="R51" s="153" t="str">
        <f t="shared" si="2"/>
        <v>AI视频平台私有化部署</v>
      </c>
      <c r="S51" s="153" t="str">
        <f t="shared" si="3"/>
        <v>OPC创业注册服务</v>
      </c>
    </row>
    <row r="52" customHeight="1" spans="1:19">
      <c r="A52" s="129">
        <v>42</v>
      </c>
      <c r="B52" s="185"/>
      <c r="C52" s="185"/>
      <c r="D52" s="189" t="s">
        <v>155</v>
      </c>
      <c r="E52" s="183" t="s">
        <v>156</v>
      </c>
      <c r="F52" s="187" t="s">
        <v>78</v>
      </c>
      <c r="G52" s="187" t="s">
        <v>79</v>
      </c>
      <c r="H52" s="187" t="s">
        <v>51</v>
      </c>
      <c r="I52" s="129">
        <f>IFERROR(VLOOKUP(G52,工作量标准!$C:$D,2,0)*IF(IFERROR(FIND("A级",H52),0)&gt;0,1,IF(IFERROR(FIND("B级",H52),0)&gt;0,3,IF(IFERROR(FIND("C级",H52),0)&gt;0,5,IF(IFERROR(FIND("D级",H52),0)&gt;0,8,1)))),"")</f>
        <v>32</v>
      </c>
      <c r="J52" s="129" t="str">
        <f>IFERROR(ROUND(I52*#REF!/10000,2),"")</f>
        <v/>
      </c>
      <c r="K52" s="184" t="s">
        <v>78</v>
      </c>
      <c r="L52" s="184" t="s">
        <v>79</v>
      </c>
      <c r="M52" s="184" t="s">
        <v>46</v>
      </c>
      <c r="N52" s="129">
        <f>IFERROR(VLOOKUP(L52,工作量标准!$C:$D,2,0)*IF(IFERROR(FIND("A级",M52),0)&gt;0,1,IF(IFERROR(FIND("B级",M52),0)&gt;0,3,IF(IFERROR(FIND("C级",M52),0)&gt;0,5,IF(IFERROR(FIND("D级",M52),0)&gt;0,8,1)))),"")</f>
        <v>20</v>
      </c>
      <c r="O52" s="129" t="str">
        <f>IFERROR(ROUND(N52*#REF!/10000,2),"")</f>
        <v/>
      </c>
      <c r="P52" s="178"/>
      <c r="Q52" s="153">
        <f t="shared" si="1"/>
        <v>12</v>
      </c>
      <c r="R52" s="153" t="str">
        <f t="shared" si="2"/>
        <v>AI视频平台私有化部署</v>
      </c>
      <c r="S52" s="153" t="str">
        <f t="shared" si="3"/>
        <v>OPC创业注册服务</v>
      </c>
    </row>
    <row r="53" customHeight="1" spans="1:19">
      <c r="A53" s="129">
        <v>43</v>
      </c>
      <c r="B53" s="185"/>
      <c r="C53" s="185"/>
      <c r="D53" s="189" t="s">
        <v>157</v>
      </c>
      <c r="E53" s="183" t="s">
        <v>158</v>
      </c>
      <c r="F53" s="187" t="s">
        <v>78</v>
      </c>
      <c r="G53" s="187" t="s">
        <v>79</v>
      </c>
      <c r="H53" s="187" t="s">
        <v>51</v>
      </c>
      <c r="I53" s="129">
        <f>IFERROR(VLOOKUP(G53,工作量标准!$C:$D,2,0)*IF(IFERROR(FIND("A级",H53),0)&gt;0,1,IF(IFERROR(FIND("B级",H53),0)&gt;0,3,IF(IFERROR(FIND("C级",H53),0)&gt;0,5,IF(IFERROR(FIND("D级",H53),0)&gt;0,8,1)))),"")</f>
        <v>32</v>
      </c>
      <c r="J53" s="129" t="str">
        <f>IFERROR(ROUND(I53*#REF!/10000,2),"")</f>
        <v/>
      </c>
      <c r="K53" s="184" t="s">
        <v>78</v>
      </c>
      <c r="L53" s="184" t="s">
        <v>79</v>
      </c>
      <c r="M53" s="184" t="s">
        <v>46</v>
      </c>
      <c r="N53" s="129">
        <f>IFERROR(VLOOKUP(L53,工作量标准!$C:$D,2,0)*IF(IFERROR(FIND("A级",M53),0)&gt;0,1,IF(IFERROR(FIND("B级",M53),0)&gt;0,3,IF(IFERROR(FIND("C级",M53),0)&gt;0,5,IF(IFERROR(FIND("D级",M53),0)&gt;0,8,1)))),"")</f>
        <v>20</v>
      </c>
      <c r="O53" s="129" t="str">
        <f>IFERROR(ROUND(N53*#REF!/10000,2),"")</f>
        <v/>
      </c>
      <c r="P53" s="178"/>
      <c r="Q53" s="153">
        <f t="shared" si="1"/>
        <v>12</v>
      </c>
      <c r="R53" s="153" t="str">
        <f t="shared" si="2"/>
        <v>AI视频平台私有化部署</v>
      </c>
      <c r="S53" s="153" t="str">
        <f t="shared" si="3"/>
        <v>OPC创业注册服务</v>
      </c>
    </row>
    <row r="54" customHeight="1" spans="1:19">
      <c r="A54" s="129">
        <v>44</v>
      </c>
      <c r="B54" s="185"/>
      <c r="C54" s="185"/>
      <c r="D54" s="189" t="s">
        <v>159</v>
      </c>
      <c r="E54" s="183" t="s">
        <v>160</v>
      </c>
      <c r="F54" s="187" t="s">
        <v>67</v>
      </c>
      <c r="G54" s="187" t="s">
        <v>68</v>
      </c>
      <c r="H54" s="187" t="s">
        <v>46</v>
      </c>
      <c r="I54" s="129">
        <f>IFERROR(VLOOKUP(G54,工作量标准!$C:$D,2,0)*IF(IFERROR(FIND("A级",H54),0)&gt;0,1,IF(IFERROR(FIND("B级",H54),0)&gt;0,3,IF(IFERROR(FIND("C级",H54),0)&gt;0,5,IF(IFERROR(FIND("D级",H54),0)&gt;0,8,1)))),"")</f>
        <v>20</v>
      </c>
      <c r="J54" s="129" t="str">
        <f>IFERROR(ROUND(I54*#REF!/10000,2),"")</f>
        <v/>
      </c>
      <c r="K54" s="184" t="s">
        <v>67</v>
      </c>
      <c r="L54" s="184" t="s">
        <v>68</v>
      </c>
      <c r="M54" s="184" t="s">
        <v>47</v>
      </c>
      <c r="N54" s="129">
        <f>IFERROR(VLOOKUP(L54,工作量标准!$C:$D,2,0)*IF(IFERROR(FIND("A级",M54),0)&gt;0,1,IF(IFERROR(FIND("B级",M54),0)&gt;0,3,IF(IFERROR(FIND("C级",M54),0)&gt;0,5,IF(IFERROR(FIND("D级",M54),0)&gt;0,8,1)))),"")</f>
        <v>12</v>
      </c>
      <c r="O54" s="129" t="str">
        <f>IFERROR(ROUND(N54*#REF!/10000,2),"")</f>
        <v/>
      </c>
      <c r="P54" s="178"/>
      <c r="Q54" s="153">
        <f t="shared" si="1"/>
        <v>8</v>
      </c>
      <c r="R54" s="153" t="str">
        <f t="shared" si="2"/>
        <v>AI视频平台私有化部署</v>
      </c>
      <c r="S54" s="153" t="str">
        <f t="shared" si="3"/>
        <v>OPC创业注册服务</v>
      </c>
    </row>
    <row r="55" customHeight="1" spans="1:19">
      <c r="A55" s="129">
        <v>45</v>
      </c>
      <c r="B55" s="185"/>
      <c r="C55" s="185"/>
      <c r="D55" s="189" t="s">
        <v>161</v>
      </c>
      <c r="E55" s="183" t="s">
        <v>162</v>
      </c>
      <c r="F55" s="187" t="s">
        <v>67</v>
      </c>
      <c r="G55" s="187" t="s">
        <v>68</v>
      </c>
      <c r="H55" s="187" t="s">
        <v>46</v>
      </c>
      <c r="I55" s="129">
        <f>IFERROR(VLOOKUP(G55,工作量标准!$C:$D,2,0)*IF(IFERROR(FIND("A级",H55),0)&gt;0,1,IF(IFERROR(FIND("B级",H55),0)&gt;0,3,IF(IFERROR(FIND("C级",H55),0)&gt;0,5,IF(IFERROR(FIND("D级",H55),0)&gt;0,8,1)))),"")</f>
        <v>20</v>
      </c>
      <c r="J55" s="129" t="str">
        <f>IFERROR(ROUND(I55*#REF!/10000,2),"")</f>
        <v/>
      </c>
      <c r="K55" s="184" t="s">
        <v>67</v>
      </c>
      <c r="L55" s="184" t="s">
        <v>68</v>
      </c>
      <c r="M55" s="184" t="s">
        <v>47</v>
      </c>
      <c r="N55" s="129">
        <f>IFERROR(VLOOKUP(L55,工作量标准!$C:$D,2,0)*IF(IFERROR(FIND("A级",M55),0)&gt;0,1,IF(IFERROR(FIND("B级",M55),0)&gt;0,3,IF(IFERROR(FIND("C级",M55),0)&gt;0,5,IF(IFERROR(FIND("D级",M55),0)&gt;0,8,1)))),"")</f>
        <v>12</v>
      </c>
      <c r="O55" s="129" t="str">
        <f>IFERROR(ROUND(N55*#REF!/10000,2),"")</f>
        <v/>
      </c>
      <c r="P55" s="178"/>
      <c r="Q55" s="153">
        <f t="shared" si="1"/>
        <v>8</v>
      </c>
      <c r="R55" s="153" t="str">
        <f t="shared" si="2"/>
        <v>AI视频平台私有化部署</v>
      </c>
      <c r="S55" s="153" t="str">
        <f t="shared" si="3"/>
        <v>OPC创业注册服务</v>
      </c>
    </row>
    <row r="56" customHeight="1" spans="1:19">
      <c r="A56" s="129">
        <v>46</v>
      </c>
      <c r="B56" s="185"/>
      <c r="C56" s="185"/>
      <c r="D56" s="189" t="s">
        <v>163</v>
      </c>
      <c r="E56" s="183" t="s">
        <v>164</v>
      </c>
      <c r="F56" s="187" t="s">
        <v>61</v>
      </c>
      <c r="G56" s="187" t="s">
        <v>62</v>
      </c>
      <c r="H56" s="187" t="s">
        <v>46</v>
      </c>
      <c r="I56" s="129">
        <f>IFERROR(VLOOKUP(G56,工作量标准!$C:$D,2,0)*IF(IFERROR(FIND("A级",H56),0)&gt;0,1,IF(IFERROR(FIND("B级",H56),0)&gt;0,3,IF(IFERROR(FIND("C级",H56),0)&gt;0,5,IF(IFERROR(FIND("D级",H56),0)&gt;0,8,1)))),"")</f>
        <v>10</v>
      </c>
      <c r="J56" s="129" t="str">
        <f>IFERROR(ROUND(I56*#REF!/10000,2),"")</f>
        <v/>
      </c>
      <c r="K56" s="184" t="s">
        <v>61</v>
      </c>
      <c r="L56" s="184" t="s">
        <v>62</v>
      </c>
      <c r="M56" s="184" t="s">
        <v>47</v>
      </c>
      <c r="N56" s="129">
        <f>IFERROR(VLOOKUP(L56,工作量标准!$C:$D,2,0)*IF(IFERROR(FIND("A级",M56),0)&gt;0,1,IF(IFERROR(FIND("B级",M56),0)&gt;0,3,IF(IFERROR(FIND("C级",M56),0)&gt;0,5,IF(IFERROR(FIND("D级",M56),0)&gt;0,8,1)))),"")</f>
        <v>6</v>
      </c>
      <c r="O56" s="129" t="str">
        <f>IFERROR(ROUND(N56*#REF!/10000,2),"")</f>
        <v/>
      </c>
      <c r="P56" s="178"/>
      <c r="Q56" s="153">
        <f t="shared" si="1"/>
        <v>4</v>
      </c>
      <c r="R56" s="153" t="str">
        <f t="shared" si="2"/>
        <v>AI视频平台私有化部署</v>
      </c>
      <c r="S56" s="153" t="str">
        <f t="shared" si="3"/>
        <v>OPC创业注册服务</v>
      </c>
    </row>
    <row r="57" customHeight="1" spans="1:19">
      <c r="A57" s="129">
        <v>47</v>
      </c>
      <c r="B57" s="185"/>
      <c r="C57" s="185"/>
      <c r="D57" s="189" t="s">
        <v>165</v>
      </c>
      <c r="E57" s="183" t="s">
        <v>166</v>
      </c>
      <c r="F57" s="187" t="s">
        <v>67</v>
      </c>
      <c r="G57" s="187" t="s">
        <v>68</v>
      </c>
      <c r="H57" s="187" t="s">
        <v>46</v>
      </c>
      <c r="I57" s="129">
        <f>IFERROR(VLOOKUP(G57,工作量标准!$C:$D,2,0)*IF(IFERROR(FIND("A级",H57),0)&gt;0,1,IF(IFERROR(FIND("B级",H57),0)&gt;0,3,IF(IFERROR(FIND("C级",H57),0)&gt;0,5,IF(IFERROR(FIND("D级",H57),0)&gt;0,8,1)))),"")</f>
        <v>20</v>
      </c>
      <c r="J57" s="129" t="str">
        <f>IFERROR(ROUND(I57*#REF!/10000,2),"")</f>
        <v/>
      </c>
      <c r="K57" s="184" t="s">
        <v>61</v>
      </c>
      <c r="L57" s="184" t="s">
        <v>62</v>
      </c>
      <c r="M57" s="184" t="s">
        <v>47</v>
      </c>
      <c r="N57" s="129">
        <f>IFERROR(VLOOKUP(L57,工作量标准!$C:$D,2,0)*IF(IFERROR(FIND("A级",M57),0)&gt;0,1,IF(IFERROR(FIND("B级",M57),0)&gt;0,3,IF(IFERROR(FIND("C级",M57),0)&gt;0,5,IF(IFERROR(FIND("D级",M57),0)&gt;0,8,1)))),"")</f>
        <v>6</v>
      </c>
      <c r="O57" s="129" t="str">
        <f>IFERROR(ROUND(N57*#REF!/10000,2),"")</f>
        <v/>
      </c>
      <c r="P57" s="178"/>
      <c r="Q57" s="153">
        <f t="shared" si="1"/>
        <v>14</v>
      </c>
      <c r="R57" s="153" t="str">
        <f t="shared" si="2"/>
        <v>AI视频平台私有化部署</v>
      </c>
      <c r="S57" s="153" t="str">
        <f t="shared" si="3"/>
        <v>OPC创业注册服务</v>
      </c>
    </row>
    <row r="58" customHeight="1" spans="1:19">
      <c r="A58" s="129">
        <v>48</v>
      </c>
      <c r="B58" s="185"/>
      <c r="C58" s="185"/>
      <c r="D58" s="189" t="s">
        <v>167</v>
      </c>
      <c r="E58" s="183" t="s">
        <v>168</v>
      </c>
      <c r="F58" s="187" t="s">
        <v>69</v>
      </c>
      <c r="G58" s="187" t="s">
        <v>70</v>
      </c>
      <c r="H58" s="187" t="s">
        <v>51</v>
      </c>
      <c r="I58" s="129">
        <f>IFERROR(VLOOKUP(G58,工作量标准!$C:$D,2,0)*IF(IFERROR(FIND("A级",H58),0)&gt;0,1,IF(IFERROR(FIND("B级",H58),0)&gt;0,3,IF(IFERROR(FIND("C级",H58),0)&gt;0,5,IF(IFERROR(FIND("D级",H58),0)&gt;0,8,1)))),"")</f>
        <v>32</v>
      </c>
      <c r="J58" s="129" t="str">
        <f>IFERROR(ROUND(I58*#REF!/10000,2),"")</f>
        <v/>
      </c>
      <c r="K58" s="184" t="s">
        <v>69</v>
      </c>
      <c r="L58" s="184" t="s">
        <v>70</v>
      </c>
      <c r="M58" s="184" t="s">
        <v>46</v>
      </c>
      <c r="N58" s="129">
        <f>IFERROR(VLOOKUP(L58,工作量标准!$C:$D,2,0)*IF(IFERROR(FIND("A级",M58),0)&gt;0,1,IF(IFERROR(FIND("B级",M58),0)&gt;0,3,IF(IFERROR(FIND("C级",M58),0)&gt;0,5,IF(IFERROR(FIND("D级",M58),0)&gt;0,8,1)))),"")</f>
        <v>20</v>
      </c>
      <c r="O58" s="129" t="str">
        <f>IFERROR(ROUND(N58*#REF!/10000,2),"")</f>
        <v/>
      </c>
      <c r="P58" s="178"/>
      <c r="Q58" s="153">
        <f t="shared" si="1"/>
        <v>12</v>
      </c>
      <c r="R58" s="153" t="str">
        <f t="shared" si="2"/>
        <v>AI视频平台私有化部署</v>
      </c>
      <c r="S58" s="153" t="str">
        <f t="shared" si="3"/>
        <v>OPC创业注册服务</v>
      </c>
    </row>
    <row r="59" customHeight="1" spans="1:19">
      <c r="A59" s="129">
        <v>49</v>
      </c>
      <c r="B59" s="185"/>
      <c r="C59" s="186"/>
      <c r="D59" s="189" t="s">
        <v>169</v>
      </c>
      <c r="E59" s="183" t="s">
        <v>170</v>
      </c>
      <c r="F59" s="187" t="s">
        <v>61</v>
      </c>
      <c r="G59" s="187" t="s">
        <v>62</v>
      </c>
      <c r="H59" s="187" t="s">
        <v>46</v>
      </c>
      <c r="I59" s="129">
        <f>IFERROR(VLOOKUP(G59,工作量标准!$C:$D,2,0)*IF(IFERROR(FIND("A级",H59),0)&gt;0,1,IF(IFERROR(FIND("B级",H59),0)&gt;0,3,IF(IFERROR(FIND("C级",H59),0)&gt;0,5,IF(IFERROR(FIND("D级",H59),0)&gt;0,8,1)))),"")</f>
        <v>10</v>
      </c>
      <c r="J59" s="129" t="str">
        <f>IFERROR(ROUND(I59*#REF!/10000,2),"")</f>
        <v/>
      </c>
      <c r="K59" s="184" t="s">
        <v>61</v>
      </c>
      <c r="L59" s="184" t="s">
        <v>62</v>
      </c>
      <c r="M59" s="184" t="s">
        <v>47</v>
      </c>
      <c r="N59" s="129">
        <f>IFERROR(VLOOKUP(L59,工作量标准!$C:$D,2,0)*IF(IFERROR(FIND("A级",M59),0)&gt;0,1,IF(IFERROR(FIND("B级",M59),0)&gt;0,3,IF(IFERROR(FIND("C级",M59),0)&gt;0,5,IF(IFERROR(FIND("D级",M59),0)&gt;0,8,1)))),"")</f>
        <v>6</v>
      </c>
      <c r="O59" s="129" t="str">
        <f>IFERROR(ROUND(N59*#REF!/10000,2),"")</f>
        <v/>
      </c>
      <c r="P59" s="178"/>
      <c r="Q59" s="153">
        <f t="shared" si="1"/>
        <v>4</v>
      </c>
      <c r="R59" s="153" t="str">
        <f t="shared" si="2"/>
        <v>AI视频平台私有化部署</v>
      </c>
      <c r="S59" s="153" t="str">
        <f t="shared" si="3"/>
        <v>OPC创业注册服务</v>
      </c>
    </row>
    <row r="60" customHeight="1" spans="1:19">
      <c r="A60" s="129">
        <v>50</v>
      </c>
      <c r="B60" s="185"/>
      <c r="C60" s="190" t="s">
        <v>171</v>
      </c>
      <c r="D60" s="183" t="s">
        <v>172</v>
      </c>
      <c r="E60" s="183" t="s">
        <v>173</v>
      </c>
      <c r="F60" s="188" t="s">
        <v>61</v>
      </c>
      <c r="G60" s="187" t="s">
        <v>62</v>
      </c>
      <c r="H60" s="187" t="s">
        <v>47</v>
      </c>
      <c r="I60" s="129">
        <f>IFERROR(VLOOKUP(G60,工作量标准!$C:$D,2,0)*IF(IFERROR(FIND("A级",H60),0)&gt;0,1,IF(IFERROR(FIND("B级",H60),0)&gt;0,3,IF(IFERROR(FIND("C级",H60),0)&gt;0,5,IF(IFERROR(FIND("D级",H60),0)&gt;0,8,1)))),"")</f>
        <v>6</v>
      </c>
      <c r="J60" s="129" t="str">
        <f>IFERROR(ROUND(I60*#REF!/10000,2),"")</f>
        <v/>
      </c>
      <c r="K60" s="184" t="s">
        <v>61</v>
      </c>
      <c r="L60" s="184" t="s">
        <v>62</v>
      </c>
      <c r="M60" s="184" t="s">
        <v>47</v>
      </c>
      <c r="N60" s="129">
        <f>IFERROR(VLOOKUP(L60,工作量标准!$C:$D,2,0)*IF(IFERROR(FIND("A级",M60),0)&gt;0,1,IF(IFERROR(FIND("B级",M60),0)&gt;0,3,IF(IFERROR(FIND("C级",M60),0)&gt;0,5,IF(IFERROR(FIND("D级",M60),0)&gt;0,8,1)))),"")</f>
        <v>6</v>
      </c>
      <c r="O60" s="129" t="str">
        <f>IFERROR(ROUND(N60*#REF!/10000,2),"")</f>
        <v/>
      </c>
      <c r="P60" s="178"/>
      <c r="Q60" s="153">
        <f t="shared" si="1"/>
        <v>0</v>
      </c>
      <c r="R60" s="153" t="str">
        <f t="shared" si="2"/>
        <v>AI视频平台私有化部署</v>
      </c>
      <c r="S60" s="153" t="str">
        <f t="shared" si="3"/>
        <v>订单管理模块</v>
      </c>
    </row>
    <row r="61" customHeight="1" spans="1:19">
      <c r="A61" s="129">
        <v>51</v>
      </c>
      <c r="B61" s="185"/>
      <c r="C61" s="191"/>
      <c r="D61" s="183" t="s">
        <v>174</v>
      </c>
      <c r="E61" s="183" t="s">
        <v>175</v>
      </c>
      <c r="F61" s="187" t="s">
        <v>67</v>
      </c>
      <c r="G61" s="187" t="s">
        <v>68</v>
      </c>
      <c r="H61" s="187" t="s">
        <v>46</v>
      </c>
      <c r="I61" s="129">
        <f>IFERROR(VLOOKUP(G61,工作量标准!$C:$D,2,0)*IF(IFERROR(FIND("A级",H61),0)&gt;0,1,IF(IFERROR(FIND("B级",H61),0)&gt;0,3,IF(IFERROR(FIND("C级",H61),0)&gt;0,5,IF(IFERROR(FIND("D级",H61),0)&gt;0,8,1)))),"")</f>
        <v>20</v>
      </c>
      <c r="J61" s="129" t="str">
        <f>IFERROR(ROUND(I61*#REF!/10000,2),"")</f>
        <v/>
      </c>
      <c r="K61" s="184" t="s">
        <v>125</v>
      </c>
      <c r="L61" s="184" t="s">
        <v>126</v>
      </c>
      <c r="M61" s="184" t="s">
        <v>47</v>
      </c>
      <c r="N61" s="129">
        <f>IFERROR(VLOOKUP(L61,工作量标准!$C:$D,2,0)*IF(IFERROR(FIND("A级",M61),0)&gt;0,1,IF(IFERROR(FIND("B级",M61),0)&gt;0,3,IF(IFERROR(FIND("C级",M61),0)&gt;0,5,IF(IFERROR(FIND("D级",M61),0)&gt;0,8,1)))),"")</f>
        <v>6</v>
      </c>
      <c r="O61" s="129" t="str">
        <f>IFERROR(ROUND(N61*#REF!/10000,2),"")</f>
        <v/>
      </c>
      <c r="P61" s="178"/>
      <c r="Q61" s="153">
        <f t="shared" si="1"/>
        <v>14</v>
      </c>
      <c r="R61" s="153" t="str">
        <f t="shared" si="2"/>
        <v>AI视频平台私有化部署</v>
      </c>
      <c r="S61" s="153" t="str">
        <f t="shared" si="3"/>
        <v>订单管理模块</v>
      </c>
    </row>
    <row r="62" customHeight="1" spans="1:19">
      <c r="A62" s="129">
        <v>52</v>
      </c>
      <c r="B62" s="185"/>
      <c r="C62" s="191"/>
      <c r="D62" s="189" t="s">
        <v>176</v>
      </c>
      <c r="E62" s="183" t="s">
        <v>177</v>
      </c>
      <c r="F62" s="187" t="s">
        <v>67</v>
      </c>
      <c r="G62" s="187" t="s">
        <v>68</v>
      </c>
      <c r="H62" s="187" t="s">
        <v>46</v>
      </c>
      <c r="I62" s="129">
        <f>IFERROR(VLOOKUP(G62,工作量标准!$C:$D,2,0)*IF(IFERROR(FIND("A级",H62),0)&gt;0,1,IF(IFERROR(FIND("B级",H62),0)&gt;0,3,IF(IFERROR(FIND("C级",H62),0)&gt;0,5,IF(IFERROR(FIND("D级",H62),0)&gt;0,8,1)))),"")</f>
        <v>20</v>
      </c>
      <c r="J62" s="129" t="str">
        <f>IFERROR(ROUND(I62*#REF!/10000,2),"")</f>
        <v/>
      </c>
      <c r="K62" s="184" t="s">
        <v>67</v>
      </c>
      <c r="L62" s="184" t="s">
        <v>68</v>
      </c>
      <c r="M62" s="184" t="s">
        <v>47</v>
      </c>
      <c r="N62" s="129">
        <f>IFERROR(VLOOKUP(L62,工作量标准!$C:$D,2,0)*IF(IFERROR(FIND("A级",M62),0)&gt;0,1,IF(IFERROR(FIND("B级",M62),0)&gt;0,3,IF(IFERROR(FIND("C级",M62),0)&gt;0,5,IF(IFERROR(FIND("D级",M62),0)&gt;0,8,1)))),"")</f>
        <v>12</v>
      </c>
      <c r="O62" s="129" t="str">
        <f>IFERROR(ROUND(N62*#REF!/10000,2),"")</f>
        <v/>
      </c>
      <c r="P62" s="178"/>
      <c r="Q62" s="153">
        <f t="shared" si="1"/>
        <v>8</v>
      </c>
      <c r="R62" s="153" t="str">
        <f t="shared" si="2"/>
        <v>AI视频平台私有化部署</v>
      </c>
      <c r="S62" s="153" t="str">
        <f t="shared" si="3"/>
        <v>订单管理模块</v>
      </c>
    </row>
    <row r="63" customHeight="1" spans="1:19">
      <c r="A63" s="129">
        <v>53</v>
      </c>
      <c r="B63" s="185"/>
      <c r="C63" s="191"/>
      <c r="D63" s="189" t="s">
        <v>178</v>
      </c>
      <c r="E63" s="183" t="s">
        <v>179</v>
      </c>
      <c r="F63" s="187" t="s">
        <v>61</v>
      </c>
      <c r="G63" s="187" t="s">
        <v>62</v>
      </c>
      <c r="H63" s="187" t="s">
        <v>47</v>
      </c>
      <c r="I63" s="129">
        <f>IFERROR(VLOOKUP(G63,工作量标准!$C:$D,2,0)*IF(IFERROR(FIND("A级",H63),0)&gt;0,1,IF(IFERROR(FIND("B级",H63),0)&gt;0,3,IF(IFERROR(FIND("C级",H63),0)&gt;0,5,IF(IFERROR(FIND("D级",H63),0)&gt;0,8,1)))),"")</f>
        <v>6</v>
      </c>
      <c r="J63" s="129" t="str">
        <f>IFERROR(ROUND(I63*#REF!/10000,2),"")</f>
        <v/>
      </c>
      <c r="K63" s="184" t="s">
        <v>61</v>
      </c>
      <c r="L63" s="184" t="s">
        <v>62</v>
      </c>
      <c r="M63" s="184" t="s">
        <v>47</v>
      </c>
      <c r="N63" s="129">
        <f>IFERROR(VLOOKUP(L63,工作量标准!$C:$D,2,0)*IF(IFERROR(FIND("A级",M63),0)&gt;0,1,IF(IFERROR(FIND("B级",M63),0)&gt;0,3,IF(IFERROR(FIND("C级",M63),0)&gt;0,5,IF(IFERROR(FIND("D级",M63),0)&gt;0,8,1)))),"")</f>
        <v>6</v>
      </c>
      <c r="O63" s="129" t="str">
        <f>IFERROR(ROUND(N63*#REF!/10000,2),"")</f>
        <v/>
      </c>
      <c r="P63" s="178"/>
      <c r="Q63" s="153">
        <f t="shared" si="1"/>
        <v>0</v>
      </c>
      <c r="R63" s="153" t="str">
        <f t="shared" si="2"/>
        <v>AI视频平台私有化部署</v>
      </c>
      <c r="S63" s="153" t="str">
        <f t="shared" si="3"/>
        <v>订单管理模块</v>
      </c>
    </row>
    <row r="64" customHeight="1" spans="1:19">
      <c r="A64" s="129">
        <v>54</v>
      </c>
      <c r="B64" s="185"/>
      <c r="C64" s="191"/>
      <c r="D64" s="189" t="s">
        <v>180</v>
      </c>
      <c r="E64" s="183" t="s">
        <v>181</v>
      </c>
      <c r="F64" s="187" t="s">
        <v>67</v>
      </c>
      <c r="G64" s="187" t="s">
        <v>68</v>
      </c>
      <c r="H64" s="187" t="s">
        <v>46</v>
      </c>
      <c r="I64" s="129">
        <f>IFERROR(VLOOKUP(G64,工作量标准!$C:$D,2,0)*IF(IFERROR(FIND("A级",H64),0)&gt;0,1,IF(IFERROR(FIND("B级",H64),0)&gt;0,3,IF(IFERROR(FIND("C级",H64),0)&gt;0,5,IF(IFERROR(FIND("D级",H64),0)&gt;0,8,1)))),"")</f>
        <v>20</v>
      </c>
      <c r="J64" s="129" t="str">
        <f>IFERROR(ROUND(I64*#REF!/10000,2),"")</f>
        <v/>
      </c>
      <c r="K64" s="184" t="s">
        <v>61</v>
      </c>
      <c r="L64" s="184" t="s">
        <v>62</v>
      </c>
      <c r="M64" s="184" t="s">
        <v>47</v>
      </c>
      <c r="N64" s="129">
        <f>IFERROR(VLOOKUP(L64,工作量标准!$C:$D,2,0)*IF(IFERROR(FIND("A级",M64),0)&gt;0,1,IF(IFERROR(FIND("B级",M64),0)&gt;0,3,IF(IFERROR(FIND("C级",M64),0)&gt;0,5,IF(IFERROR(FIND("D级",M64),0)&gt;0,8,1)))),"")</f>
        <v>6</v>
      </c>
      <c r="O64" s="129" t="str">
        <f>IFERROR(ROUND(N64*#REF!/10000,2),"")</f>
        <v/>
      </c>
      <c r="P64" s="178"/>
      <c r="Q64" s="153">
        <f t="shared" si="1"/>
        <v>14</v>
      </c>
      <c r="R64" s="153" t="str">
        <f t="shared" si="2"/>
        <v>AI视频平台私有化部署</v>
      </c>
      <c r="S64" s="153" t="str">
        <f t="shared" si="3"/>
        <v>订单管理模块</v>
      </c>
    </row>
    <row r="65" customHeight="1" spans="1:19">
      <c r="A65" s="129">
        <v>55</v>
      </c>
      <c r="B65" s="185"/>
      <c r="C65" s="191"/>
      <c r="D65" s="189" t="s">
        <v>182</v>
      </c>
      <c r="E65" s="183" t="s">
        <v>183</v>
      </c>
      <c r="F65" s="187" t="s">
        <v>61</v>
      </c>
      <c r="G65" s="187" t="s">
        <v>62</v>
      </c>
      <c r="H65" s="187" t="s">
        <v>47</v>
      </c>
      <c r="I65" s="129">
        <f>IFERROR(VLOOKUP(G65,工作量标准!$C:$D,2,0)*IF(IFERROR(FIND("A级",H65),0)&gt;0,1,IF(IFERROR(FIND("B级",H65),0)&gt;0,3,IF(IFERROR(FIND("C级",H65),0)&gt;0,5,IF(IFERROR(FIND("D级",H65),0)&gt;0,8,1)))),"")</f>
        <v>6</v>
      </c>
      <c r="J65" s="129" t="str">
        <f>IFERROR(ROUND(I65*#REF!/10000,2),"")</f>
        <v/>
      </c>
      <c r="K65" s="184" t="s">
        <v>61</v>
      </c>
      <c r="L65" s="184" t="s">
        <v>62</v>
      </c>
      <c r="M65" s="184" t="s">
        <v>47</v>
      </c>
      <c r="N65" s="129">
        <f>IFERROR(VLOOKUP(L65,工作量标准!$C:$D,2,0)*IF(IFERROR(FIND("A级",M65),0)&gt;0,1,IF(IFERROR(FIND("B级",M65),0)&gt;0,3,IF(IFERROR(FIND("C级",M65),0)&gt;0,5,IF(IFERROR(FIND("D级",M65),0)&gt;0,8,1)))),"")</f>
        <v>6</v>
      </c>
      <c r="O65" s="129" t="str">
        <f>IFERROR(ROUND(N65*#REF!/10000,2),"")</f>
        <v/>
      </c>
      <c r="P65" s="178"/>
      <c r="Q65" s="153">
        <f t="shared" si="1"/>
        <v>0</v>
      </c>
      <c r="R65" s="153" t="str">
        <f t="shared" si="2"/>
        <v>AI视频平台私有化部署</v>
      </c>
      <c r="S65" s="153" t="str">
        <f t="shared" si="3"/>
        <v>订单管理模块</v>
      </c>
    </row>
    <row r="66" customHeight="1" spans="1:19">
      <c r="A66" s="129">
        <v>56</v>
      </c>
      <c r="B66" s="185"/>
      <c r="C66" s="191"/>
      <c r="D66" s="189" t="s">
        <v>184</v>
      </c>
      <c r="E66" s="183" t="s">
        <v>185</v>
      </c>
      <c r="F66" s="187" t="s">
        <v>67</v>
      </c>
      <c r="G66" s="187" t="s">
        <v>68</v>
      </c>
      <c r="H66" s="187" t="s">
        <v>46</v>
      </c>
      <c r="I66" s="129">
        <f>IFERROR(VLOOKUP(G66,工作量标准!$C:$D,2,0)*IF(IFERROR(FIND("A级",H66),0)&gt;0,1,IF(IFERROR(FIND("B级",H66),0)&gt;0,3,IF(IFERROR(FIND("C级",H66),0)&gt;0,5,IF(IFERROR(FIND("D级",H66),0)&gt;0,8,1)))),"")</f>
        <v>20</v>
      </c>
      <c r="J66" s="129" t="str">
        <f>IFERROR(ROUND(I66*#REF!/10000,2),"")</f>
        <v/>
      </c>
      <c r="K66" s="184" t="s">
        <v>67</v>
      </c>
      <c r="L66" s="184" t="s">
        <v>68</v>
      </c>
      <c r="M66" s="184" t="s">
        <v>47</v>
      </c>
      <c r="N66" s="129">
        <f>IFERROR(VLOOKUP(L66,工作量标准!$C:$D,2,0)*IF(IFERROR(FIND("A级",M66),0)&gt;0,1,IF(IFERROR(FIND("B级",M66),0)&gt;0,3,IF(IFERROR(FIND("C级",M66),0)&gt;0,5,IF(IFERROR(FIND("D级",M66),0)&gt;0,8,1)))),"")</f>
        <v>12</v>
      </c>
      <c r="O66" s="129" t="str">
        <f>IFERROR(ROUND(N66*#REF!/10000,2),"")</f>
        <v/>
      </c>
      <c r="P66" s="178"/>
      <c r="Q66" s="153">
        <f t="shared" si="1"/>
        <v>8</v>
      </c>
      <c r="R66" s="153" t="str">
        <f t="shared" si="2"/>
        <v>AI视频平台私有化部署</v>
      </c>
      <c r="S66" s="153" t="str">
        <f t="shared" si="3"/>
        <v>订单管理模块</v>
      </c>
    </row>
    <row r="67" customHeight="1" spans="1:19">
      <c r="A67" s="129">
        <v>57</v>
      </c>
      <c r="B67" s="185"/>
      <c r="C67" s="191"/>
      <c r="D67" s="183" t="s">
        <v>186</v>
      </c>
      <c r="E67" s="183" t="s">
        <v>187</v>
      </c>
      <c r="F67" s="16" t="s">
        <v>67</v>
      </c>
      <c r="G67" s="187" t="s">
        <v>68</v>
      </c>
      <c r="H67" s="187" t="s">
        <v>46</v>
      </c>
      <c r="I67" s="129">
        <f>IFERROR(VLOOKUP(G67,工作量标准!$C:$D,2,0)*IF(IFERROR(FIND("A级",H67),0)&gt;0,1,IF(IFERROR(FIND("B级",H67),0)&gt;0,3,IF(IFERROR(FIND("C级",H67),0)&gt;0,5,IF(IFERROR(FIND("D级",H67),0)&gt;0,8,1)))),"")</f>
        <v>20</v>
      </c>
      <c r="J67" s="129" t="str">
        <f>IFERROR(ROUND(I67*#REF!/10000,2),"")</f>
        <v/>
      </c>
      <c r="K67" s="184" t="s">
        <v>67</v>
      </c>
      <c r="L67" s="184" t="s">
        <v>68</v>
      </c>
      <c r="M67" s="184" t="s">
        <v>47</v>
      </c>
      <c r="N67" s="129">
        <f>IFERROR(VLOOKUP(L67,工作量标准!$C:$D,2,0)*IF(IFERROR(FIND("A级",M67),0)&gt;0,1,IF(IFERROR(FIND("B级",M67),0)&gt;0,3,IF(IFERROR(FIND("C级",M67),0)&gt;0,5,IF(IFERROR(FIND("D级",M67),0)&gt;0,8,1)))),"")</f>
        <v>12</v>
      </c>
      <c r="O67" s="129" t="str">
        <f>IFERROR(ROUND(N67*#REF!/10000,2),"")</f>
        <v/>
      </c>
      <c r="P67" s="178"/>
      <c r="Q67" s="153">
        <f t="shared" si="1"/>
        <v>8</v>
      </c>
      <c r="R67" s="153" t="str">
        <f t="shared" si="2"/>
        <v>AI视频平台私有化部署</v>
      </c>
      <c r="S67" s="153" t="str">
        <f t="shared" si="3"/>
        <v>订单管理模块</v>
      </c>
    </row>
    <row r="68" customHeight="1" spans="1:19">
      <c r="A68" s="129">
        <v>58</v>
      </c>
      <c r="B68" s="185"/>
      <c r="C68" s="191"/>
      <c r="D68" s="183" t="s">
        <v>188</v>
      </c>
      <c r="E68" s="183" t="s">
        <v>189</v>
      </c>
      <c r="F68" s="16" t="s">
        <v>67</v>
      </c>
      <c r="G68" s="187" t="s">
        <v>68</v>
      </c>
      <c r="H68" s="187" t="s">
        <v>51</v>
      </c>
      <c r="I68" s="129">
        <f>IFERROR(VLOOKUP(G68,工作量标准!$C:$D,2,0)*IF(IFERROR(FIND("A级",H68),0)&gt;0,1,IF(IFERROR(FIND("B级",H68),0)&gt;0,3,IF(IFERROR(FIND("C级",H68),0)&gt;0,5,IF(IFERROR(FIND("D级",H68),0)&gt;0,8,1)))),"")</f>
        <v>32</v>
      </c>
      <c r="J68" s="129" t="str">
        <f>IFERROR(ROUND(I68*#REF!/10000,2),"")</f>
        <v/>
      </c>
      <c r="K68" s="184" t="s">
        <v>67</v>
      </c>
      <c r="L68" s="184" t="s">
        <v>68</v>
      </c>
      <c r="M68" s="184" t="s">
        <v>46</v>
      </c>
      <c r="N68" s="129">
        <f>IFERROR(VLOOKUP(L68,工作量标准!$C:$D,2,0)*IF(IFERROR(FIND("A级",M68),0)&gt;0,1,IF(IFERROR(FIND("B级",M68),0)&gt;0,3,IF(IFERROR(FIND("C级",M68),0)&gt;0,5,IF(IFERROR(FIND("D级",M68),0)&gt;0,8,1)))),"")</f>
        <v>20</v>
      </c>
      <c r="O68" s="129" t="str">
        <f>IFERROR(ROUND(N68*#REF!/10000,2),"")</f>
        <v/>
      </c>
      <c r="P68" s="178"/>
      <c r="Q68" s="153">
        <f t="shared" si="1"/>
        <v>12</v>
      </c>
      <c r="R68" s="153" t="str">
        <f t="shared" si="2"/>
        <v>AI视频平台私有化部署</v>
      </c>
      <c r="S68" s="153" t="str">
        <f t="shared" si="3"/>
        <v>订单管理模块</v>
      </c>
    </row>
    <row r="69" customHeight="1" spans="1:19">
      <c r="A69" s="129">
        <v>59</v>
      </c>
      <c r="B69" s="185"/>
      <c r="C69" s="191"/>
      <c r="D69" s="183" t="s">
        <v>190</v>
      </c>
      <c r="E69" s="183" t="s">
        <v>191</v>
      </c>
      <c r="F69" s="187" t="s">
        <v>61</v>
      </c>
      <c r="G69" s="187" t="s">
        <v>62</v>
      </c>
      <c r="H69" s="187" t="s">
        <v>46</v>
      </c>
      <c r="I69" s="129">
        <f>IFERROR(VLOOKUP(G69,工作量标准!$C:$D,2,0)*IF(IFERROR(FIND("A级",H69),0)&gt;0,1,IF(IFERROR(FIND("B级",H69),0)&gt;0,3,IF(IFERROR(FIND("C级",H69),0)&gt;0,5,IF(IFERROR(FIND("D级",H69),0)&gt;0,8,1)))),"")</f>
        <v>10</v>
      </c>
      <c r="J69" s="129" t="str">
        <f>IFERROR(ROUND(I69*#REF!/10000,2),"")</f>
        <v/>
      </c>
      <c r="K69" s="184" t="s">
        <v>61</v>
      </c>
      <c r="L69" s="184" t="s">
        <v>62</v>
      </c>
      <c r="M69" s="184" t="s">
        <v>47</v>
      </c>
      <c r="N69" s="129">
        <f>IFERROR(VLOOKUP(L69,工作量标准!$C:$D,2,0)*IF(IFERROR(FIND("A级",M69),0)&gt;0,1,IF(IFERROR(FIND("B级",M69),0)&gt;0,3,IF(IFERROR(FIND("C级",M69),0)&gt;0,5,IF(IFERROR(FIND("D级",M69),0)&gt;0,8,1)))),"")</f>
        <v>6</v>
      </c>
      <c r="O69" s="129" t="str">
        <f>IFERROR(ROUND(N69*#REF!/10000,2),"")</f>
        <v/>
      </c>
      <c r="P69" s="178"/>
      <c r="Q69" s="153">
        <f t="shared" si="1"/>
        <v>4</v>
      </c>
      <c r="R69" s="153" t="str">
        <f t="shared" si="2"/>
        <v>AI视频平台私有化部署</v>
      </c>
      <c r="S69" s="153" t="str">
        <f t="shared" si="3"/>
        <v>订单管理模块</v>
      </c>
    </row>
    <row r="70" customHeight="1" spans="1:19">
      <c r="A70" s="129">
        <v>60</v>
      </c>
      <c r="B70" s="185"/>
      <c r="C70" s="191"/>
      <c r="D70" s="183" t="s">
        <v>192</v>
      </c>
      <c r="E70" s="183" t="s">
        <v>193</v>
      </c>
      <c r="F70" s="187" t="s">
        <v>67</v>
      </c>
      <c r="G70" s="187" t="s">
        <v>68</v>
      </c>
      <c r="H70" s="187" t="s">
        <v>51</v>
      </c>
      <c r="I70" s="129">
        <f>IFERROR(VLOOKUP(G70,工作量标准!$C:$D,2,0)*IF(IFERROR(FIND("A级",H70),0)&gt;0,1,IF(IFERROR(FIND("B级",H70),0)&gt;0,3,IF(IFERROR(FIND("C级",H70),0)&gt;0,5,IF(IFERROR(FIND("D级",H70),0)&gt;0,8,1)))),"")</f>
        <v>32</v>
      </c>
      <c r="J70" s="129" t="str">
        <f>IFERROR(ROUND(I70*#REF!/10000,2),"")</f>
        <v/>
      </c>
      <c r="K70" s="184" t="s">
        <v>67</v>
      </c>
      <c r="L70" s="184" t="s">
        <v>68</v>
      </c>
      <c r="M70" s="184" t="s">
        <v>46</v>
      </c>
      <c r="N70" s="129">
        <f>IFERROR(VLOOKUP(L70,工作量标准!$C:$D,2,0)*IF(IFERROR(FIND("A级",M70),0)&gt;0,1,IF(IFERROR(FIND("B级",M70),0)&gt;0,3,IF(IFERROR(FIND("C级",M70),0)&gt;0,5,IF(IFERROR(FIND("D级",M70),0)&gt;0,8,1)))),"")</f>
        <v>20</v>
      </c>
      <c r="O70" s="129" t="str">
        <f>IFERROR(ROUND(N70*#REF!/10000,2),"")</f>
        <v/>
      </c>
      <c r="P70" s="178"/>
      <c r="Q70" s="153">
        <f t="shared" si="1"/>
        <v>12</v>
      </c>
      <c r="R70" s="153" t="str">
        <f t="shared" si="2"/>
        <v>AI视频平台私有化部署</v>
      </c>
      <c r="S70" s="153" t="str">
        <f t="shared" si="3"/>
        <v>订单管理模块</v>
      </c>
    </row>
    <row r="71" customHeight="1" spans="1:19">
      <c r="A71" s="129">
        <v>61</v>
      </c>
      <c r="B71" s="185"/>
      <c r="C71" s="191"/>
      <c r="D71" s="183" t="s">
        <v>194</v>
      </c>
      <c r="E71" s="183" t="s">
        <v>195</v>
      </c>
      <c r="F71" s="187" t="s">
        <v>67</v>
      </c>
      <c r="G71" s="187" t="s">
        <v>68</v>
      </c>
      <c r="H71" s="187" t="s">
        <v>46</v>
      </c>
      <c r="I71" s="129">
        <f>IFERROR(VLOOKUP(G71,工作量标准!$C:$D,2,0)*IF(IFERROR(FIND("A级",H71),0)&gt;0,1,IF(IFERROR(FIND("B级",H71),0)&gt;0,3,IF(IFERROR(FIND("C级",H71),0)&gt;0,5,IF(IFERROR(FIND("D级",H71),0)&gt;0,8,1)))),"")</f>
        <v>20</v>
      </c>
      <c r="J71" s="129" t="str">
        <f>IFERROR(ROUND(I71*#REF!/10000,2),"")</f>
        <v/>
      </c>
      <c r="K71" s="184" t="s">
        <v>67</v>
      </c>
      <c r="L71" s="184" t="s">
        <v>68</v>
      </c>
      <c r="M71" s="184" t="s">
        <v>47</v>
      </c>
      <c r="N71" s="129">
        <f>IFERROR(VLOOKUP(L71,工作量标准!$C:$D,2,0)*IF(IFERROR(FIND("A级",M71),0)&gt;0,1,IF(IFERROR(FIND("B级",M71),0)&gt;0,3,IF(IFERROR(FIND("C级",M71),0)&gt;0,5,IF(IFERROR(FIND("D级",M71),0)&gt;0,8,1)))),"")</f>
        <v>12</v>
      </c>
      <c r="O71" s="129" t="str">
        <f>IFERROR(ROUND(N71*#REF!/10000,2),"")</f>
        <v/>
      </c>
      <c r="P71" s="178"/>
      <c r="Q71" s="153">
        <f t="shared" si="1"/>
        <v>8</v>
      </c>
      <c r="R71" s="153" t="str">
        <f t="shared" si="2"/>
        <v>AI视频平台私有化部署</v>
      </c>
      <c r="S71" s="153" t="str">
        <f t="shared" si="3"/>
        <v>订单管理模块</v>
      </c>
    </row>
    <row r="72" customHeight="1" spans="1:19">
      <c r="A72" s="129">
        <v>62</v>
      </c>
      <c r="B72" s="185"/>
      <c r="C72" s="191"/>
      <c r="D72" s="183" t="s">
        <v>196</v>
      </c>
      <c r="E72" s="183" t="s">
        <v>197</v>
      </c>
      <c r="F72" s="187" t="s">
        <v>67</v>
      </c>
      <c r="G72" s="187" t="s">
        <v>68</v>
      </c>
      <c r="H72" s="187" t="s">
        <v>46</v>
      </c>
      <c r="I72" s="129">
        <f>IFERROR(VLOOKUP(G72,工作量标准!$C:$D,2,0)*IF(IFERROR(FIND("A级",H72),0)&gt;0,1,IF(IFERROR(FIND("B级",H72),0)&gt;0,3,IF(IFERROR(FIND("C级",H72),0)&gt;0,5,IF(IFERROR(FIND("D级",H72),0)&gt;0,8,1)))),"")</f>
        <v>20</v>
      </c>
      <c r="J72" s="129" t="str">
        <f>IFERROR(ROUND(I72*#REF!/10000,2),"")</f>
        <v/>
      </c>
      <c r="K72" s="184" t="s">
        <v>67</v>
      </c>
      <c r="L72" s="184" t="s">
        <v>68</v>
      </c>
      <c r="M72" s="184" t="s">
        <v>47</v>
      </c>
      <c r="N72" s="129">
        <f>IFERROR(VLOOKUP(L72,工作量标准!$C:$D,2,0)*IF(IFERROR(FIND("A级",M72),0)&gt;0,1,IF(IFERROR(FIND("B级",M72),0)&gt;0,3,IF(IFERROR(FIND("C级",M72),0)&gt;0,5,IF(IFERROR(FIND("D级",M72),0)&gt;0,8,1)))),"")</f>
        <v>12</v>
      </c>
      <c r="O72" s="129" t="str">
        <f>IFERROR(ROUND(N72*#REF!/10000,2),"")</f>
        <v/>
      </c>
      <c r="P72" s="178"/>
      <c r="Q72" s="153">
        <f t="shared" si="1"/>
        <v>8</v>
      </c>
      <c r="R72" s="153" t="str">
        <f t="shared" si="2"/>
        <v>AI视频平台私有化部署</v>
      </c>
      <c r="S72" s="153" t="str">
        <f t="shared" si="3"/>
        <v>订单管理模块</v>
      </c>
    </row>
    <row r="73" customHeight="1" spans="1:19">
      <c r="A73" s="129">
        <v>63</v>
      </c>
      <c r="B73" s="185"/>
      <c r="C73" s="191"/>
      <c r="D73" s="183" t="s">
        <v>198</v>
      </c>
      <c r="E73" s="183" t="s">
        <v>199</v>
      </c>
      <c r="F73" s="187" t="s">
        <v>67</v>
      </c>
      <c r="G73" s="187" t="s">
        <v>68</v>
      </c>
      <c r="H73" s="187" t="s">
        <v>46</v>
      </c>
      <c r="I73" s="129">
        <f>IFERROR(VLOOKUP(G73,工作量标准!$C:$D,2,0)*IF(IFERROR(FIND("A级",H73),0)&gt;0,1,IF(IFERROR(FIND("B级",H73),0)&gt;0,3,IF(IFERROR(FIND("C级",H73),0)&gt;0,5,IF(IFERROR(FIND("D级",H73),0)&gt;0,8,1)))),"")</f>
        <v>20</v>
      </c>
      <c r="J73" s="129" t="str">
        <f>IFERROR(ROUND(I73*#REF!/10000,2),"")</f>
        <v/>
      </c>
      <c r="K73" s="184" t="s">
        <v>69</v>
      </c>
      <c r="L73" s="184" t="s">
        <v>70</v>
      </c>
      <c r="M73" s="184" t="s">
        <v>47</v>
      </c>
      <c r="N73" s="129">
        <f>IFERROR(VLOOKUP(L73,工作量标准!$C:$D,2,0)*IF(IFERROR(FIND("A级",M73),0)&gt;0,1,IF(IFERROR(FIND("B级",M73),0)&gt;0,3,IF(IFERROR(FIND("C级",M73),0)&gt;0,5,IF(IFERROR(FIND("D级",M73),0)&gt;0,8,1)))),"")</f>
        <v>12</v>
      </c>
      <c r="O73" s="129" t="str">
        <f>IFERROR(ROUND(N73*#REF!/10000,2),"")</f>
        <v/>
      </c>
      <c r="P73" s="178"/>
      <c r="Q73" s="153">
        <f t="shared" si="1"/>
        <v>8</v>
      </c>
      <c r="R73" s="153" t="str">
        <f t="shared" si="2"/>
        <v>AI视频平台私有化部署</v>
      </c>
      <c r="S73" s="153" t="str">
        <f t="shared" si="3"/>
        <v>订单管理模块</v>
      </c>
    </row>
    <row r="74" customHeight="1" spans="1:19">
      <c r="A74" s="129">
        <v>64</v>
      </c>
      <c r="B74" s="185"/>
      <c r="C74" s="192"/>
      <c r="D74" s="183" t="s">
        <v>200</v>
      </c>
      <c r="E74" s="183" t="s">
        <v>201</v>
      </c>
      <c r="F74" s="187" t="s">
        <v>67</v>
      </c>
      <c r="G74" s="187" t="s">
        <v>68</v>
      </c>
      <c r="H74" s="187" t="s">
        <v>46</v>
      </c>
      <c r="I74" s="129">
        <f>IFERROR(VLOOKUP(G74,工作量标准!$C:$D,2,0)*IF(IFERROR(FIND("A级",H74),0)&gt;0,1,IF(IFERROR(FIND("B级",H74),0)&gt;0,3,IF(IFERROR(FIND("C级",H74),0)&gt;0,5,IF(IFERROR(FIND("D级",H74),0)&gt;0,8,1)))),"")</f>
        <v>20</v>
      </c>
      <c r="J74" s="129" t="str">
        <f>IFERROR(ROUND(I74*#REF!/10000,2),"")</f>
        <v/>
      </c>
      <c r="K74" s="184" t="s">
        <v>69</v>
      </c>
      <c r="L74" s="184" t="s">
        <v>70</v>
      </c>
      <c r="M74" s="184" t="s">
        <v>47</v>
      </c>
      <c r="N74" s="129">
        <f>IFERROR(VLOOKUP(L74,工作量标准!$C:$D,2,0)*IF(IFERROR(FIND("A级",M74),0)&gt;0,1,IF(IFERROR(FIND("B级",M74),0)&gt;0,3,IF(IFERROR(FIND("C级",M74),0)&gt;0,5,IF(IFERROR(FIND("D级",M74),0)&gt;0,8,1)))),"")</f>
        <v>12</v>
      </c>
      <c r="O74" s="129" t="str">
        <f>IFERROR(ROUND(N74*#REF!/10000,2),"")</f>
        <v/>
      </c>
      <c r="P74" s="178"/>
      <c r="Q74" s="153">
        <f t="shared" si="1"/>
        <v>8</v>
      </c>
      <c r="R74" s="153" t="str">
        <f t="shared" si="2"/>
        <v>AI视频平台私有化部署</v>
      </c>
      <c r="S74" s="153" t="str">
        <f t="shared" si="3"/>
        <v>订单管理模块</v>
      </c>
    </row>
    <row r="75" customHeight="1" spans="1:19">
      <c r="A75" s="129">
        <v>65</v>
      </c>
      <c r="B75" s="185"/>
      <c r="C75" s="190" t="s">
        <v>202</v>
      </c>
      <c r="D75" s="183" t="s">
        <v>203</v>
      </c>
      <c r="E75" s="183" t="s">
        <v>204</v>
      </c>
      <c r="F75" s="187" t="s">
        <v>67</v>
      </c>
      <c r="G75" s="187" t="s">
        <v>68</v>
      </c>
      <c r="H75" s="187" t="s">
        <v>51</v>
      </c>
      <c r="I75" s="129">
        <f>IFERROR(VLOOKUP(G75,工作量标准!$C:$D,2,0)*IF(IFERROR(FIND("A级",H75),0)&gt;0,1,IF(IFERROR(FIND("B级",H75),0)&gt;0,3,IF(IFERROR(FIND("C级",H75),0)&gt;0,5,IF(IFERROR(FIND("D级",H75),0)&gt;0,8,1)))),"")</f>
        <v>32</v>
      </c>
      <c r="J75" s="129" t="str">
        <f>IFERROR(ROUND(I75*#REF!/10000,2),"")</f>
        <v/>
      </c>
      <c r="K75" s="184" t="s">
        <v>67</v>
      </c>
      <c r="L75" s="184" t="s">
        <v>68</v>
      </c>
      <c r="M75" s="184" t="s">
        <v>46</v>
      </c>
      <c r="N75" s="129">
        <f>IFERROR(VLOOKUP(L75,工作量标准!$C:$D,2,0)*IF(IFERROR(FIND("A级",M75),0)&gt;0,1,IF(IFERROR(FIND("B级",M75),0)&gt;0,3,IF(IFERROR(FIND("C级",M75),0)&gt;0,5,IF(IFERROR(FIND("D级",M75),0)&gt;0,8,1)))),"")</f>
        <v>20</v>
      </c>
      <c r="O75" s="129" t="str">
        <f>IFERROR(ROUND(N75*#REF!/10000,2),"")</f>
        <v/>
      </c>
      <c r="P75" s="178"/>
      <c r="Q75" s="153">
        <f t="shared" si="1"/>
        <v>12</v>
      </c>
      <c r="R75" s="153" t="str">
        <f t="shared" si="2"/>
        <v>AI视频平台私有化部署</v>
      </c>
      <c r="S75" s="153" t="str">
        <f t="shared" si="3"/>
        <v>结算管理与合作分成</v>
      </c>
    </row>
    <row r="76" customHeight="1" spans="1:19">
      <c r="A76" s="129">
        <v>66</v>
      </c>
      <c r="B76" s="185"/>
      <c r="C76" s="191"/>
      <c r="D76" s="183" t="s">
        <v>205</v>
      </c>
      <c r="E76" s="183" t="s">
        <v>206</v>
      </c>
      <c r="F76" s="187" t="s">
        <v>67</v>
      </c>
      <c r="G76" s="187" t="s">
        <v>68</v>
      </c>
      <c r="H76" s="187" t="s">
        <v>51</v>
      </c>
      <c r="I76" s="129">
        <f>IFERROR(VLOOKUP(G76,工作量标准!$C:$D,2,0)*IF(IFERROR(FIND("A级",H76),0)&gt;0,1,IF(IFERROR(FIND("B级",H76),0)&gt;0,3,IF(IFERROR(FIND("C级",H76),0)&gt;0,5,IF(IFERROR(FIND("D级",H76),0)&gt;0,8,1)))),"")</f>
        <v>32</v>
      </c>
      <c r="J76" s="129" t="str">
        <f>IFERROR(ROUND(I76*#REF!/10000,2),"")</f>
        <v/>
      </c>
      <c r="K76" s="184" t="s">
        <v>67</v>
      </c>
      <c r="L76" s="184" t="s">
        <v>68</v>
      </c>
      <c r="M76" s="184" t="s">
        <v>46</v>
      </c>
      <c r="N76" s="129">
        <f>IFERROR(VLOOKUP(L76,工作量标准!$C:$D,2,0)*IF(IFERROR(FIND("A级",M76),0)&gt;0,1,IF(IFERROR(FIND("B级",M76),0)&gt;0,3,IF(IFERROR(FIND("C级",M76),0)&gt;0,5,IF(IFERROR(FIND("D级",M76),0)&gt;0,8,1)))),"")</f>
        <v>20</v>
      </c>
      <c r="O76" s="129" t="str">
        <f>IFERROR(ROUND(N76*#REF!/10000,2),"")</f>
        <v/>
      </c>
      <c r="P76" s="178"/>
      <c r="Q76" s="153">
        <f t="shared" ref="Q76:Q110" si="4">I76-N76</f>
        <v>12</v>
      </c>
      <c r="R76" s="153" t="str">
        <f t="shared" ref="R76:R110" si="5">IF(ISBLANK(B76),R75,B76)</f>
        <v>AI视频平台私有化部署</v>
      </c>
      <c r="S76" s="153" t="str">
        <f t="shared" ref="S76:S110" si="6">IF(ISBLANK(C76),S75,C76)</f>
        <v>结算管理与合作分成</v>
      </c>
    </row>
    <row r="77" customHeight="1" spans="1:19">
      <c r="A77" s="129">
        <v>67</v>
      </c>
      <c r="B77" s="185"/>
      <c r="C77" s="191"/>
      <c r="D77" s="183" t="s">
        <v>207</v>
      </c>
      <c r="E77" s="183" t="s">
        <v>208</v>
      </c>
      <c r="F77" s="187" t="s">
        <v>61</v>
      </c>
      <c r="G77" s="187" t="s">
        <v>62</v>
      </c>
      <c r="H77" s="187" t="s">
        <v>46</v>
      </c>
      <c r="I77" s="129">
        <f>IFERROR(VLOOKUP(G77,工作量标准!$C:$D,2,0)*IF(IFERROR(FIND("A级",H77),0)&gt;0,1,IF(IFERROR(FIND("B级",H77),0)&gt;0,3,IF(IFERROR(FIND("C级",H77),0)&gt;0,5,IF(IFERROR(FIND("D级",H77),0)&gt;0,8,1)))),"")</f>
        <v>10</v>
      </c>
      <c r="J77" s="129" t="str">
        <f>IFERROR(ROUND(I77*#REF!/10000,2),"")</f>
        <v/>
      </c>
      <c r="K77" s="184" t="s">
        <v>61</v>
      </c>
      <c r="L77" s="184" t="s">
        <v>62</v>
      </c>
      <c r="M77" s="184" t="s">
        <v>47</v>
      </c>
      <c r="N77" s="129">
        <f>IFERROR(VLOOKUP(L77,工作量标准!$C:$D,2,0)*IF(IFERROR(FIND("A级",M77),0)&gt;0,1,IF(IFERROR(FIND("B级",M77),0)&gt;0,3,IF(IFERROR(FIND("C级",M77),0)&gt;0,5,IF(IFERROR(FIND("D级",M77),0)&gt;0,8,1)))),"")</f>
        <v>6</v>
      </c>
      <c r="O77" s="129" t="str">
        <f>IFERROR(ROUND(N77*#REF!/10000,2),"")</f>
        <v/>
      </c>
      <c r="P77" s="178"/>
      <c r="Q77" s="153">
        <f t="shared" si="4"/>
        <v>4</v>
      </c>
      <c r="R77" s="153" t="str">
        <f t="shared" si="5"/>
        <v>AI视频平台私有化部署</v>
      </c>
      <c r="S77" s="153" t="str">
        <f t="shared" si="6"/>
        <v>结算管理与合作分成</v>
      </c>
    </row>
    <row r="78" customHeight="1" spans="1:19">
      <c r="A78" s="129">
        <v>68</v>
      </c>
      <c r="B78" s="185"/>
      <c r="C78" s="191"/>
      <c r="D78" s="183" t="s">
        <v>209</v>
      </c>
      <c r="E78" s="183" t="s">
        <v>210</v>
      </c>
      <c r="F78" s="187" t="s">
        <v>67</v>
      </c>
      <c r="G78" s="187" t="s">
        <v>68</v>
      </c>
      <c r="H78" s="187" t="s">
        <v>51</v>
      </c>
      <c r="I78" s="129">
        <f>IFERROR(VLOOKUP(G78,工作量标准!$C:$D,2,0)*IF(IFERROR(FIND("A级",H78),0)&gt;0,1,IF(IFERROR(FIND("B级",H78),0)&gt;0,3,IF(IFERROR(FIND("C级",H78),0)&gt;0,5,IF(IFERROR(FIND("D级",H78),0)&gt;0,8,1)))),"")</f>
        <v>32</v>
      </c>
      <c r="J78" s="129" t="str">
        <f>IFERROR(ROUND(I78*#REF!/10000,2),"")</f>
        <v/>
      </c>
      <c r="K78" s="184" t="s">
        <v>67</v>
      </c>
      <c r="L78" s="184" t="s">
        <v>68</v>
      </c>
      <c r="M78" s="184" t="s">
        <v>46</v>
      </c>
      <c r="N78" s="129">
        <f>IFERROR(VLOOKUP(L78,工作量标准!$C:$D,2,0)*IF(IFERROR(FIND("A级",M78),0)&gt;0,1,IF(IFERROR(FIND("B级",M78),0)&gt;0,3,IF(IFERROR(FIND("C级",M78),0)&gt;0,5,IF(IFERROR(FIND("D级",M78),0)&gt;0,8,1)))),"")</f>
        <v>20</v>
      </c>
      <c r="O78" s="129" t="str">
        <f>IFERROR(ROUND(N78*#REF!/10000,2),"")</f>
        <v/>
      </c>
      <c r="P78" s="178"/>
      <c r="Q78" s="153">
        <f t="shared" si="4"/>
        <v>12</v>
      </c>
      <c r="R78" s="153" t="str">
        <f t="shared" si="5"/>
        <v>AI视频平台私有化部署</v>
      </c>
      <c r="S78" s="153" t="str">
        <f t="shared" si="6"/>
        <v>结算管理与合作分成</v>
      </c>
    </row>
    <row r="79" customHeight="1" spans="1:19">
      <c r="A79" s="129">
        <v>69</v>
      </c>
      <c r="B79" s="185"/>
      <c r="C79" s="191"/>
      <c r="D79" s="183" t="s">
        <v>211</v>
      </c>
      <c r="E79" s="183" t="s">
        <v>212</v>
      </c>
      <c r="F79" s="187" t="s">
        <v>67</v>
      </c>
      <c r="G79" s="187" t="s">
        <v>68</v>
      </c>
      <c r="H79" s="187" t="s">
        <v>51</v>
      </c>
      <c r="I79" s="129">
        <f>IFERROR(VLOOKUP(G79,工作量标准!$C:$D,2,0)*IF(IFERROR(FIND("A级",H79),0)&gt;0,1,IF(IFERROR(FIND("B级",H79),0)&gt;0,3,IF(IFERROR(FIND("C级",H79),0)&gt;0,5,IF(IFERROR(FIND("D级",H79),0)&gt;0,8,1)))),"")</f>
        <v>32</v>
      </c>
      <c r="J79" s="129" t="str">
        <f>IFERROR(ROUND(I79*#REF!/10000,2),"")</f>
        <v/>
      </c>
      <c r="K79" s="184" t="s">
        <v>67</v>
      </c>
      <c r="L79" s="184" t="s">
        <v>68</v>
      </c>
      <c r="M79" s="184" t="s">
        <v>46</v>
      </c>
      <c r="N79" s="129">
        <f>IFERROR(VLOOKUP(L79,工作量标准!$C:$D,2,0)*IF(IFERROR(FIND("A级",M79),0)&gt;0,1,IF(IFERROR(FIND("B级",M79),0)&gt;0,3,IF(IFERROR(FIND("C级",M79),0)&gt;0,5,IF(IFERROR(FIND("D级",M79),0)&gt;0,8,1)))),"")</f>
        <v>20</v>
      </c>
      <c r="O79" s="129" t="str">
        <f>IFERROR(ROUND(N79*#REF!/10000,2),"")</f>
        <v/>
      </c>
      <c r="P79" s="178"/>
      <c r="Q79" s="153">
        <f t="shared" si="4"/>
        <v>12</v>
      </c>
      <c r="R79" s="153" t="str">
        <f t="shared" si="5"/>
        <v>AI视频平台私有化部署</v>
      </c>
      <c r="S79" s="153" t="str">
        <f t="shared" si="6"/>
        <v>结算管理与合作分成</v>
      </c>
    </row>
    <row r="80" customHeight="1" spans="1:19">
      <c r="A80" s="129">
        <v>70</v>
      </c>
      <c r="B80" s="185"/>
      <c r="C80" s="191"/>
      <c r="D80" s="183" t="s">
        <v>213</v>
      </c>
      <c r="E80" s="183" t="s">
        <v>214</v>
      </c>
      <c r="F80" s="187" t="s">
        <v>67</v>
      </c>
      <c r="G80" s="187" t="s">
        <v>68</v>
      </c>
      <c r="H80" s="187" t="s">
        <v>51</v>
      </c>
      <c r="I80" s="129">
        <f>IFERROR(VLOOKUP(G80,工作量标准!$C:$D,2,0)*IF(IFERROR(FIND("A级",H80),0)&gt;0,1,IF(IFERROR(FIND("B级",H80),0)&gt;0,3,IF(IFERROR(FIND("C级",H80),0)&gt;0,5,IF(IFERROR(FIND("D级",H80),0)&gt;0,8,1)))),"")</f>
        <v>32</v>
      </c>
      <c r="J80" s="129" t="str">
        <f>IFERROR(ROUND(I80*#REF!/10000,2),"")</f>
        <v/>
      </c>
      <c r="K80" s="184" t="s">
        <v>67</v>
      </c>
      <c r="L80" s="184" t="s">
        <v>68</v>
      </c>
      <c r="M80" s="184" t="s">
        <v>46</v>
      </c>
      <c r="N80" s="129">
        <f>IFERROR(VLOOKUP(L80,工作量标准!$C:$D,2,0)*IF(IFERROR(FIND("A级",M80),0)&gt;0,1,IF(IFERROR(FIND("B级",M80),0)&gt;0,3,IF(IFERROR(FIND("C级",M80),0)&gt;0,5,IF(IFERROR(FIND("D级",M80),0)&gt;0,8,1)))),"")</f>
        <v>20</v>
      </c>
      <c r="O80" s="129" t="str">
        <f>IFERROR(ROUND(N80*#REF!/10000,2),"")</f>
        <v/>
      </c>
      <c r="P80" s="178"/>
      <c r="Q80" s="153">
        <f t="shared" si="4"/>
        <v>12</v>
      </c>
      <c r="R80" s="153" t="str">
        <f t="shared" si="5"/>
        <v>AI视频平台私有化部署</v>
      </c>
      <c r="S80" s="153" t="str">
        <f t="shared" si="6"/>
        <v>结算管理与合作分成</v>
      </c>
    </row>
    <row r="81" customHeight="1" spans="1:19">
      <c r="A81" s="129">
        <v>71</v>
      </c>
      <c r="B81" s="185"/>
      <c r="C81" s="191"/>
      <c r="D81" s="183" t="s">
        <v>215</v>
      </c>
      <c r="E81" s="183" t="s">
        <v>216</v>
      </c>
      <c r="F81" s="187" t="s">
        <v>61</v>
      </c>
      <c r="G81" s="187" t="s">
        <v>62</v>
      </c>
      <c r="H81" s="187" t="s">
        <v>46</v>
      </c>
      <c r="I81" s="129">
        <f>IFERROR(VLOOKUP(G81,工作量标准!$C:$D,2,0)*IF(IFERROR(FIND("A级",H81),0)&gt;0,1,IF(IFERROR(FIND("B级",H81),0)&gt;0,3,IF(IFERROR(FIND("C级",H81),0)&gt;0,5,IF(IFERROR(FIND("D级",H81),0)&gt;0,8,1)))),"")</f>
        <v>10</v>
      </c>
      <c r="J81" s="129" t="str">
        <f>IFERROR(ROUND(I81*#REF!/10000,2),"")</f>
        <v/>
      </c>
      <c r="K81" s="184" t="s">
        <v>61</v>
      </c>
      <c r="L81" s="184" t="s">
        <v>62</v>
      </c>
      <c r="M81" s="184" t="s">
        <v>47</v>
      </c>
      <c r="N81" s="129">
        <f>IFERROR(VLOOKUP(L81,工作量标准!$C:$D,2,0)*IF(IFERROR(FIND("A级",M81),0)&gt;0,1,IF(IFERROR(FIND("B级",M81),0)&gt;0,3,IF(IFERROR(FIND("C级",M81),0)&gt;0,5,IF(IFERROR(FIND("D级",M81),0)&gt;0,8,1)))),"")</f>
        <v>6</v>
      </c>
      <c r="O81" s="129" t="str">
        <f>IFERROR(ROUND(N81*#REF!/10000,2),"")</f>
        <v/>
      </c>
      <c r="P81" s="178"/>
      <c r="Q81" s="153">
        <f t="shared" si="4"/>
        <v>4</v>
      </c>
      <c r="R81" s="153" t="str">
        <f t="shared" si="5"/>
        <v>AI视频平台私有化部署</v>
      </c>
      <c r="S81" s="153" t="str">
        <f t="shared" si="6"/>
        <v>结算管理与合作分成</v>
      </c>
    </row>
    <row r="82" customHeight="1" spans="1:19">
      <c r="A82" s="129">
        <v>72</v>
      </c>
      <c r="B82" s="185"/>
      <c r="C82" s="191"/>
      <c r="D82" s="183" t="s">
        <v>217</v>
      </c>
      <c r="E82" s="183" t="s">
        <v>218</v>
      </c>
      <c r="F82" s="187" t="s">
        <v>67</v>
      </c>
      <c r="G82" s="187" t="s">
        <v>68</v>
      </c>
      <c r="H82" s="187" t="s">
        <v>46</v>
      </c>
      <c r="I82" s="129">
        <f>IFERROR(VLOOKUP(G82,工作量标准!$C:$D,2,0)*IF(IFERROR(FIND("A级",H82),0)&gt;0,1,IF(IFERROR(FIND("B级",H82),0)&gt;0,3,IF(IFERROR(FIND("C级",H82),0)&gt;0,5,IF(IFERROR(FIND("D级",H82),0)&gt;0,8,1)))),"")</f>
        <v>20</v>
      </c>
      <c r="J82" s="129" t="str">
        <f>IFERROR(ROUND(I82*#REF!/10000,2),"")</f>
        <v/>
      </c>
      <c r="K82" s="184" t="s">
        <v>67</v>
      </c>
      <c r="L82" s="184" t="s">
        <v>68</v>
      </c>
      <c r="M82" s="184" t="s">
        <v>47</v>
      </c>
      <c r="N82" s="129">
        <f>IFERROR(VLOOKUP(L82,工作量标准!$C:$D,2,0)*IF(IFERROR(FIND("A级",M82),0)&gt;0,1,IF(IFERROR(FIND("B级",M82),0)&gt;0,3,IF(IFERROR(FIND("C级",M82),0)&gt;0,5,IF(IFERROR(FIND("D级",M82),0)&gt;0,8,1)))),"")</f>
        <v>12</v>
      </c>
      <c r="O82" s="129" t="str">
        <f>IFERROR(ROUND(N82*#REF!/10000,2),"")</f>
        <v/>
      </c>
      <c r="P82" s="178"/>
      <c r="Q82" s="153">
        <f t="shared" si="4"/>
        <v>8</v>
      </c>
      <c r="R82" s="153" t="str">
        <f t="shared" si="5"/>
        <v>AI视频平台私有化部署</v>
      </c>
      <c r="S82" s="153" t="str">
        <f t="shared" si="6"/>
        <v>结算管理与合作分成</v>
      </c>
    </row>
    <row r="83" customHeight="1" spans="1:19">
      <c r="A83" s="129">
        <v>73</v>
      </c>
      <c r="B83" s="185"/>
      <c r="C83" s="191"/>
      <c r="D83" s="183" t="s">
        <v>219</v>
      </c>
      <c r="E83" s="183" t="s">
        <v>220</v>
      </c>
      <c r="F83" s="187" t="s">
        <v>67</v>
      </c>
      <c r="G83" s="187" t="s">
        <v>68</v>
      </c>
      <c r="H83" s="187" t="s">
        <v>46</v>
      </c>
      <c r="I83" s="129">
        <f>IFERROR(VLOOKUP(G83,工作量标准!$C:$D,2,0)*IF(IFERROR(FIND("A级",H83),0)&gt;0,1,IF(IFERROR(FIND("B级",H83),0)&gt;0,3,IF(IFERROR(FIND("C级",H83),0)&gt;0,5,IF(IFERROR(FIND("D级",H83),0)&gt;0,8,1)))),"")</f>
        <v>20</v>
      </c>
      <c r="J83" s="129" t="str">
        <f>IFERROR(ROUND(I83*#REF!/10000,2),"")</f>
        <v/>
      </c>
      <c r="K83" s="184" t="s">
        <v>67</v>
      </c>
      <c r="L83" s="184" t="s">
        <v>68</v>
      </c>
      <c r="M83" s="184" t="s">
        <v>47</v>
      </c>
      <c r="N83" s="129">
        <f>IFERROR(VLOOKUP(L83,工作量标准!$C:$D,2,0)*IF(IFERROR(FIND("A级",M83),0)&gt;0,1,IF(IFERROR(FIND("B级",M83),0)&gt;0,3,IF(IFERROR(FIND("C级",M83),0)&gt;0,5,IF(IFERROR(FIND("D级",M83),0)&gt;0,8,1)))),"")</f>
        <v>12</v>
      </c>
      <c r="O83" s="129" t="str">
        <f>IFERROR(ROUND(N83*#REF!/10000,2),"")</f>
        <v/>
      </c>
      <c r="P83" s="178"/>
      <c r="Q83" s="153">
        <f t="shared" si="4"/>
        <v>8</v>
      </c>
      <c r="R83" s="153" t="str">
        <f t="shared" si="5"/>
        <v>AI视频平台私有化部署</v>
      </c>
      <c r="S83" s="153" t="str">
        <f t="shared" si="6"/>
        <v>结算管理与合作分成</v>
      </c>
    </row>
    <row r="84" customHeight="1" spans="1:19">
      <c r="A84" s="129">
        <v>74</v>
      </c>
      <c r="B84" s="185"/>
      <c r="C84" s="191"/>
      <c r="D84" s="183" t="s">
        <v>221</v>
      </c>
      <c r="E84" s="183" t="s">
        <v>222</v>
      </c>
      <c r="F84" s="187" t="s">
        <v>67</v>
      </c>
      <c r="G84" s="187" t="s">
        <v>68</v>
      </c>
      <c r="H84" s="187" t="s">
        <v>51</v>
      </c>
      <c r="I84" s="129">
        <f>IFERROR(VLOOKUP(G84,工作量标准!$C:$D,2,0)*IF(IFERROR(FIND("A级",H84),0)&gt;0,1,IF(IFERROR(FIND("B级",H84),0)&gt;0,3,IF(IFERROR(FIND("C级",H84),0)&gt;0,5,IF(IFERROR(FIND("D级",H84),0)&gt;0,8,1)))),"")</f>
        <v>32</v>
      </c>
      <c r="J84" s="129" t="str">
        <f>IFERROR(ROUND(I84*#REF!/10000,2),"")</f>
        <v/>
      </c>
      <c r="K84" s="184" t="s">
        <v>67</v>
      </c>
      <c r="L84" s="184" t="s">
        <v>68</v>
      </c>
      <c r="M84" s="184" t="s">
        <v>46</v>
      </c>
      <c r="N84" s="129">
        <f>IFERROR(VLOOKUP(L84,工作量标准!$C:$D,2,0)*IF(IFERROR(FIND("A级",M84),0)&gt;0,1,IF(IFERROR(FIND("B级",M84),0)&gt;0,3,IF(IFERROR(FIND("C级",M84),0)&gt;0,5,IF(IFERROR(FIND("D级",M84),0)&gt;0,8,1)))),"")</f>
        <v>20</v>
      </c>
      <c r="O84" s="129" t="str">
        <f>IFERROR(ROUND(N84*#REF!/10000,2),"")</f>
        <v/>
      </c>
      <c r="P84" s="178"/>
      <c r="Q84" s="153">
        <f t="shared" si="4"/>
        <v>12</v>
      </c>
      <c r="R84" s="153" t="str">
        <f t="shared" si="5"/>
        <v>AI视频平台私有化部署</v>
      </c>
      <c r="S84" s="153" t="str">
        <f t="shared" si="6"/>
        <v>结算管理与合作分成</v>
      </c>
    </row>
    <row r="85" customHeight="1" spans="1:19">
      <c r="A85" s="129">
        <v>75</v>
      </c>
      <c r="B85" s="185"/>
      <c r="C85" s="191"/>
      <c r="D85" s="183" t="s">
        <v>223</v>
      </c>
      <c r="E85" s="183" t="s">
        <v>224</v>
      </c>
      <c r="F85" s="187" t="s">
        <v>67</v>
      </c>
      <c r="G85" s="187" t="s">
        <v>68</v>
      </c>
      <c r="H85" s="187" t="s">
        <v>47</v>
      </c>
      <c r="I85" s="129">
        <f>IFERROR(VLOOKUP(G85,工作量标准!$C:$D,2,0)*IF(IFERROR(FIND("A级",H85),0)&gt;0,1,IF(IFERROR(FIND("B级",H85),0)&gt;0,3,IF(IFERROR(FIND("C级",H85),0)&gt;0,5,IF(IFERROR(FIND("D级",H85),0)&gt;0,8,1)))),"")</f>
        <v>12</v>
      </c>
      <c r="J85" s="129" t="str">
        <f>IFERROR(ROUND(I85*#REF!/10000,2),"")</f>
        <v/>
      </c>
      <c r="K85" s="184" t="s">
        <v>67</v>
      </c>
      <c r="L85" s="184" t="s">
        <v>68</v>
      </c>
      <c r="M85" s="184" t="s">
        <v>47</v>
      </c>
      <c r="N85" s="129">
        <f>IFERROR(VLOOKUP(L85,工作量标准!$C:$D,2,0)*IF(IFERROR(FIND("A级",M85),0)&gt;0,1,IF(IFERROR(FIND("B级",M85),0)&gt;0,3,IF(IFERROR(FIND("C级",M85),0)&gt;0,5,IF(IFERROR(FIND("D级",M85),0)&gt;0,8,1)))),"")</f>
        <v>12</v>
      </c>
      <c r="O85" s="129" t="str">
        <f>IFERROR(ROUND(N85*#REF!/10000,2),"")</f>
        <v/>
      </c>
      <c r="P85" s="178"/>
      <c r="Q85" s="153">
        <f t="shared" si="4"/>
        <v>0</v>
      </c>
      <c r="R85" s="153" t="str">
        <f t="shared" si="5"/>
        <v>AI视频平台私有化部署</v>
      </c>
      <c r="S85" s="153" t="str">
        <f t="shared" si="6"/>
        <v>结算管理与合作分成</v>
      </c>
    </row>
    <row r="86" customHeight="1" spans="1:19">
      <c r="A86" s="129">
        <v>76</v>
      </c>
      <c r="B86" s="185"/>
      <c r="C86" s="191"/>
      <c r="D86" s="183" t="s">
        <v>225</v>
      </c>
      <c r="E86" s="183" t="s">
        <v>226</v>
      </c>
      <c r="F86" s="187" t="s">
        <v>61</v>
      </c>
      <c r="G86" s="187" t="s">
        <v>62</v>
      </c>
      <c r="H86" s="187" t="s">
        <v>46</v>
      </c>
      <c r="I86" s="129">
        <f>IFERROR(VLOOKUP(G86,工作量标准!$C:$D,2,0)*IF(IFERROR(FIND("A级",H86),0)&gt;0,1,IF(IFERROR(FIND("B级",H86),0)&gt;0,3,IF(IFERROR(FIND("C级",H86),0)&gt;0,5,IF(IFERROR(FIND("D级",H86),0)&gt;0,8,1)))),"")</f>
        <v>10</v>
      </c>
      <c r="J86" s="129" t="str">
        <f>IFERROR(ROUND(I86*#REF!/10000,2),"")</f>
        <v/>
      </c>
      <c r="K86" s="184" t="s">
        <v>61</v>
      </c>
      <c r="L86" s="184" t="s">
        <v>62</v>
      </c>
      <c r="M86" s="184" t="s">
        <v>47</v>
      </c>
      <c r="N86" s="129">
        <f>IFERROR(VLOOKUP(L86,工作量标准!$C:$D,2,0)*IF(IFERROR(FIND("A级",M86),0)&gt;0,1,IF(IFERROR(FIND("B级",M86),0)&gt;0,3,IF(IFERROR(FIND("C级",M86),0)&gt;0,5,IF(IFERROR(FIND("D级",M86),0)&gt;0,8,1)))),"")</f>
        <v>6</v>
      </c>
      <c r="O86" s="129" t="str">
        <f>IFERROR(ROUND(N86*#REF!/10000,2),"")</f>
        <v/>
      </c>
      <c r="P86" s="178"/>
      <c r="Q86" s="153">
        <f t="shared" si="4"/>
        <v>4</v>
      </c>
      <c r="R86" s="153" t="str">
        <f t="shared" si="5"/>
        <v>AI视频平台私有化部署</v>
      </c>
      <c r="S86" s="153" t="str">
        <f t="shared" si="6"/>
        <v>结算管理与合作分成</v>
      </c>
    </row>
    <row r="87" customHeight="1" spans="1:19">
      <c r="A87" s="129">
        <v>77</v>
      </c>
      <c r="B87" s="185"/>
      <c r="C87" s="191"/>
      <c r="D87" s="183" t="s">
        <v>227</v>
      </c>
      <c r="E87" s="183" t="s">
        <v>228</v>
      </c>
      <c r="F87" s="187" t="s">
        <v>67</v>
      </c>
      <c r="G87" s="187" t="s">
        <v>68</v>
      </c>
      <c r="H87" s="187" t="s">
        <v>46</v>
      </c>
      <c r="I87" s="129">
        <f>IFERROR(VLOOKUP(G87,工作量标准!$C:$D,2,0)*IF(IFERROR(FIND("A级",H87),0)&gt;0,1,IF(IFERROR(FIND("B级",H87),0)&gt;0,3,IF(IFERROR(FIND("C级",H87),0)&gt;0,5,IF(IFERROR(FIND("D级",H87),0)&gt;0,8,1)))),"")</f>
        <v>20</v>
      </c>
      <c r="J87" s="129" t="str">
        <f>IFERROR(ROUND(I87*#REF!/10000,2),"")</f>
        <v/>
      </c>
      <c r="K87" s="184" t="s">
        <v>229</v>
      </c>
      <c r="L87" s="184" t="s">
        <v>230</v>
      </c>
      <c r="M87" s="184" t="s">
        <v>47</v>
      </c>
      <c r="N87" s="129">
        <f>IFERROR(VLOOKUP(L87,工作量标准!$C:$D,2,0)*IF(IFERROR(FIND("A级",M87),0)&gt;0,1,IF(IFERROR(FIND("B级",M87),0)&gt;0,3,IF(IFERROR(FIND("C级",M87),0)&gt;0,5,IF(IFERROR(FIND("D级",M87),0)&gt;0,8,1)))),"")</f>
        <v>6</v>
      </c>
      <c r="O87" s="129" t="str">
        <f>IFERROR(ROUND(N87*#REF!/10000,2),"")</f>
        <v/>
      </c>
      <c r="P87" s="178"/>
      <c r="Q87" s="153">
        <f t="shared" si="4"/>
        <v>14</v>
      </c>
      <c r="R87" s="153" t="str">
        <f t="shared" si="5"/>
        <v>AI视频平台私有化部署</v>
      </c>
      <c r="S87" s="153" t="str">
        <f t="shared" si="6"/>
        <v>结算管理与合作分成</v>
      </c>
    </row>
    <row r="88" customHeight="1" spans="1:19">
      <c r="A88" s="129">
        <v>78</v>
      </c>
      <c r="B88" s="185"/>
      <c r="C88" s="191"/>
      <c r="D88" s="183" t="s">
        <v>231</v>
      </c>
      <c r="E88" s="183" t="s">
        <v>232</v>
      </c>
      <c r="F88" s="187" t="s">
        <v>67</v>
      </c>
      <c r="G88" s="187" t="s">
        <v>68</v>
      </c>
      <c r="H88" s="187" t="s">
        <v>51</v>
      </c>
      <c r="I88" s="129">
        <f>IFERROR(VLOOKUP(G88,工作量标准!$C:$D,2,0)*IF(IFERROR(FIND("A级",H88),0)&gt;0,1,IF(IFERROR(FIND("B级",H88),0)&gt;0,3,IF(IFERROR(FIND("C级",H88),0)&gt;0,5,IF(IFERROR(FIND("D级",H88),0)&gt;0,8,1)))),"")</f>
        <v>32</v>
      </c>
      <c r="J88" s="129" t="str">
        <f>IFERROR(ROUND(I88*#REF!/10000,2),"")</f>
        <v/>
      </c>
      <c r="K88" s="184" t="s">
        <v>67</v>
      </c>
      <c r="L88" s="184" t="s">
        <v>68</v>
      </c>
      <c r="M88" s="184" t="s">
        <v>46</v>
      </c>
      <c r="N88" s="129">
        <f>IFERROR(VLOOKUP(L88,工作量标准!$C:$D,2,0)*IF(IFERROR(FIND("A级",M88),0)&gt;0,1,IF(IFERROR(FIND("B级",M88),0)&gt;0,3,IF(IFERROR(FIND("C级",M88),0)&gt;0,5,IF(IFERROR(FIND("D级",M88),0)&gt;0,8,1)))),"")</f>
        <v>20</v>
      </c>
      <c r="O88" s="129" t="str">
        <f>IFERROR(ROUND(N88*#REF!/10000,2),"")</f>
        <v/>
      </c>
      <c r="P88" s="178"/>
      <c r="Q88" s="153">
        <f t="shared" si="4"/>
        <v>12</v>
      </c>
      <c r="R88" s="153" t="str">
        <f t="shared" si="5"/>
        <v>AI视频平台私有化部署</v>
      </c>
      <c r="S88" s="153" t="str">
        <f t="shared" si="6"/>
        <v>结算管理与合作分成</v>
      </c>
    </row>
    <row r="89" customHeight="1" spans="1:19">
      <c r="A89" s="129">
        <v>79</v>
      </c>
      <c r="B89" s="186"/>
      <c r="C89" s="192"/>
      <c r="D89" s="183" t="s">
        <v>233</v>
      </c>
      <c r="E89" s="183" t="s">
        <v>234</v>
      </c>
      <c r="F89" s="187" t="s">
        <v>67</v>
      </c>
      <c r="G89" s="187" t="s">
        <v>68</v>
      </c>
      <c r="H89" s="187" t="s">
        <v>46</v>
      </c>
      <c r="I89" s="129">
        <f>IFERROR(VLOOKUP(G89,工作量标准!$C:$D,2,0)*IF(IFERROR(FIND("A级",H89),0)&gt;0,1,IF(IFERROR(FIND("B级",H89),0)&gt;0,3,IF(IFERROR(FIND("C级",H89),0)&gt;0,5,IF(IFERROR(FIND("D级",H89),0)&gt;0,8,1)))),"")</f>
        <v>20</v>
      </c>
      <c r="J89" s="129" t="str">
        <f>IFERROR(ROUND(I89*#REF!/10000,2),"")</f>
        <v/>
      </c>
      <c r="K89" s="184" t="s">
        <v>125</v>
      </c>
      <c r="L89" s="184" t="s">
        <v>126</v>
      </c>
      <c r="M89" s="184" t="s">
        <v>47</v>
      </c>
      <c r="N89" s="129">
        <f>IFERROR(VLOOKUP(L89,工作量标准!$C:$D,2,0)*IF(IFERROR(FIND("A级",M89),0)&gt;0,1,IF(IFERROR(FIND("B级",M89),0)&gt;0,3,IF(IFERROR(FIND("C级",M89),0)&gt;0,5,IF(IFERROR(FIND("D级",M89),0)&gt;0,8,1)))),"")</f>
        <v>6</v>
      </c>
      <c r="O89" s="129" t="str">
        <f>IFERROR(ROUND(N89*#REF!/10000,2),"")</f>
        <v/>
      </c>
      <c r="P89" s="178"/>
      <c r="Q89" s="153">
        <f t="shared" si="4"/>
        <v>14</v>
      </c>
      <c r="R89" s="153" t="str">
        <f t="shared" si="5"/>
        <v>AI视频平台私有化部署</v>
      </c>
      <c r="S89" s="153" t="str">
        <f t="shared" si="6"/>
        <v>结算管理与合作分成</v>
      </c>
    </row>
  </sheetData>
  <mergeCells count="46">
    <mergeCell ref="A1:J1"/>
    <mergeCell ref="K1:P1"/>
    <mergeCell ref="A2:B2"/>
    <mergeCell ref="E2:G2"/>
    <mergeCell ref="K2:L2"/>
    <mergeCell ref="N2:P2"/>
    <mergeCell ref="F3:J3"/>
    <mergeCell ref="K3:O3"/>
    <mergeCell ref="A5:H5"/>
    <mergeCell ref="K5:M5"/>
    <mergeCell ref="C6:D6"/>
    <mergeCell ref="E6:H6"/>
    <mergeCell ref="L6:M6"/>
    <mergeCell ref="C7:D7"/>
    <mergeCell ref="E7:H7"/>
    <mergeCell ref="L7:M7"/>
    <mergeCell ref="C8:D8"/>
    <mergeCell ref="E8:H8"/>
    <mergeCell ref="L8:M8"/>
    <mergeCell ref="C9:D9"/>
    <mergeCell ref="E9:H9"/>
    <mergeCell ref="L9:M9"/>
    <mergeCell ref="E10:H10"/>
    <mergeCell ref="K10:M10"/>
    <mergeCell ref="A3:A4"/>
    <mergeCell ref="A6:A9"/>
    <mergeCell ref="B3:B4"/>
    <mergeCell ref="B6:B9"/>
    <mergeCell ref="B11:B89"/>
    <mergeCell ref="C3:C4"/>
    <mergeCell ref="C11:C14"/>
    <mergeCell ref="C15:C19"/>
    <mergeCell ref="C20:C24"/>
    <mergeCell ref="C25:C29"/>
    <mergeCell ref="C30:C33"/>
    <mergeCell ref="C34:C37"/>
    <mergeCell ref="C38:C41"/>
    <mergeCell ref="C42:C45"/>
    <mergeCell ref="C46:C59"/>
    <mergeCell ref="C60:C74"/>
    <mergeCell ref="C75:C89"/>
    <mergeCell ref="D3:D4"/>
    <mergeCell ref="E3:E4"/>
    <mergeCell ref="J6:J9"/>
    <mergeCell ref="O6:O9"/>
    <mergeCell ref="P3:P4"/>
  </mergeCells>
  <dataValidations count="7">
    <dataValidation type="list" allowBlank="1" showInputMessage="1" showErrorMessage="1" sqref="F11:F39 K11:K89">
      <formula1>功能点类型!$A$1:$H$1</formula1>
    </dataValidation>
    <dataValidation type="list" showInputMessage="1" showErrorMessage="1" sqref="G11:G39 L11:L89">
      <formula1>INDIRECT(F11)</formula1>
    </dataValidation>
    <dataValidation type="list" allowBlank="1" showInputMessage="1" showErrorMessage="1" sqref="G40:G45 G49:G51 G54:G89 L6:L9">
      <formula1>INDIRECT(F6)</formula1>
    </dataValidation>
    <dataValidation type="list" showInputMessage="1" showErrorMessage="1" sqref="H11:H39 M11:M89">
      <formula1>"A级,B级,C级,D级"</formula1>
    </dataValidation>
    <dataValidation type="list" showInputMessage="1" showErrorMessage="1" sqref="H40:H89">
      <formula1>INDIRECT(F40&amp;G40)</formula1>
    </dataValidation>
    <dataValidation type="whole" operator="between" allowBlank="1" showInputMessage="1" showErrorMessage="1" sqref="I11:I89 N11:N89">
      <formula1>1</formula1>
      <formula2>50</formula2>
    </dataValidation>
    <dataValidation type="list" allowBlank="1" showInputMessage="1" showErrorMessage="1" sqref="K6:K9">
      <formula1>功能点类型!$A$23:$D$23</formula1>
    </dataValidation>
  </dataValidations>
  <hyperlinks>
    <hyperlink ref="N2" r:id="rId1" display="guoxiaole.nx@chinatelecom.cn"/>
  </hyperlinks>
  <pageMargins left="0.393700787401575" right="0" top="0.393700787401575" bottom="0" header="0" footer="0"/>
  <pageSetup paperSize="9" scale="76" fitToHeight="0" orientation="landscape"/>
  <headerFooter/>
  <ignoredErrors>
    <ignoredError sqref="K1" unlocked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V236"/>
  <sheetViews>
    <sheetView view="pageBreakPreview" zoomScale="60" zoomScaleNormal="85" workbookViewId="0">
      <pane xSplit="13" ySplit="1" topLeftCell="N8" activePane="bottomRight" state="frozen"/>
      <selection/>
      <selection pane="topRight"/>
      <selection pane="bottomLeft"/>
      <selection pane="bottomRight" activeCell="A17" sqref="A17:M17"/>
    </sheetView>
  </sheetViews>
  <sheetFormatPr defaultColWidth="16.5" defaultRowHeight="21.75" customHeight="1"/>
  <cols>
    <col min="1" max="1" width="5.375" style="35" customWidth="1"/>
    <col min="2" max="2" width="15" style="35" customWidth="1"/>
    <col min="3" max="3" width="21.25" style="35" customWidth="1"/>
    <col min="4" max="5" width="24.625" style="35" customWidth="1"/>
    <col min="6" max="13" width="15.125" style="35" customWidth="1"/>
    <col min="14" max="14" width="17.75" style="35" customWidth="1"/>
    <col min="15" max="15" width="32.5" style="35" customWidth="1"/>
    <col min="16" max="16384" width="16.5" style="35"/>
  </cols>
  <sheetData>
    <row r="1" ht="30" customHeight="1" spans="1:16">
      <c r="A1" s="36" t="str">
        <f>$A$25</f>
        <v>xm</v>
      </c>
      <c r="B1" s="36"/>
      <c r="C1" s="36"/>
      <c r="D1" s="36"/>
      <c r="E1" s="36"/>
      <c r="F1" s="36"/>
      <c r="G1" s="36"/>
      <c r="H1" s="36"/>
      <c r="I1" s="36"/>
      <c r="J1" s="37" t="s">
        <v>235</v>
      </c>
      <c r="K1" s="37"/>
      <c r="L1" s="37"/>
      <c r="M1" s="37"/>
      <c r="N1" s="38" t="str">
        <f ca="1">TEXT(NOW(),"YYYY年MM月DD日")</f>
        <v>2026年08月19日</v>
      </c>
      <c r="O1" s="35" t="s">
        <v>236</v>
      </c>
      <c r="P1" s="35" t="s">
        <v>237</v>
      </c>
    </row>
    <row r="2" ht="30" customHeight="1" spans="1:16">
      <c r="A2" s="39" t="s">
        <v>238</v>
      </c>
      <c r="B2" s="40"/>
      <c r="C2" s="40" t="s">
        <v>239</v>
      </c>
      <c r="D2" s="40" t="s">
        <v>240</v>
      </c>
      <c r="E2" s="40" t="s">
        <v>241</v>
      </c>
      <c r="F2" s="40" t="s">
        <v>242</v>
      </c>
      <c r="G2" s="40"/>
      <c r="H2" s="40"/>
      <c r="I2" s="40"/>
      <c r="J2" s="40" t="s">
        <v>243</v>
      </c>
      <c r="K2" s="40"/>
      <c r="L2" s="40"/>
      <c r="M2" s="41"/>
      <c r="P2" s="35" t="str">
        <f t="array" ref="P2">INDEX($B$27:$B$236,1+MATCH(,COUNTIF(P$1:P1,B$28:B$236),))&amp;""</f>
        <v/>
      </c>
    </row>
    <row r="3" ht="30" customHeight="1" spans="1:16">
      <c r="A3" s="42" t="s">
        <v>61</v>
      </c>
      <c r="B3" s="43"/>
      <c r="C3" s="44">
        <f t="shared" ref="C3:C9" si="0">COUNTIFS($F$24:$F$3922,$A3)-COUNTIFS($F$24:$F$3922,$A3,$M$24:$M$3922,"*不通过*")</f>
        <v>2</v>
      </c>
      <c r="D3" s="44">
        <f t="shared" ref="D3:D9" si="1">SUMIFS($I$21:$I$3922,$F$21:$F$3922,$A3)-SUMIFS($I$21:$I$3922,$F$21:$F$3922,$A3,$M$21:$M$3922,"*不通过*")</f>
        <v>13</v>
      </c>
      <c r="E3" s="44">
        <v>2378</v>
      </c>
      <c r="F3" s="44">
        <v>754.717</v>
      </c>
      <c r="G3" s="44"/>
      <c r="H3" s="44"/>
      <c r="I3" s="44"/>
      <c r="J3" s="44">
        <v>179.48</v>
      </c>
      <c r="K3" s="44"/>
      <c r="L3" s="44"/>
      <c r="M3" s="45"/>
    </row>
    <row r="4" ht="30" customHeight="1" spans="1:16">
      <c r="A4" s="42" t="s">
        <v>67</v>
      </c>
      <c r="B4" s="43"/>
      <c r="C4" s="44">
        <f t="shared" si="0"/>
        <v>2</v>
      </c>
      <c r="D4" s="44">
        <f t="shared" si="1"/>
        <v>60</v>
      </c>
      <c r="E4" s="44">
        <v>0</v>
      </c>
      <c r="F4" s="44">
        <v>377.359</v>
      </c>
      <c r="G4" s="44"/>
      <c r="H4" s="44"/>
      <c r="I4" s="44"/>
      <c r="J4" s="44">
        <v>0</v>
      </c>
      <c r="K4" s="44"/>
      <c r="L4" s="44"/>
      <c r="M4" s="45"/>
    </row>
    <row r="5" ht="30" customHeight="1" spans="1:16">
      <c r="A5" s="42" t="s">
        <v>78</v>
      </c>
      <c r="B5" s="43"/>
      <c r="C5" s="44">
        <f t="shared" si="0"/>
        <v>4</v>
      </c>
      <c r="D5" s="44">
        <f t="shared" si="1"/>
        <v>38</v>
      </c>
      <c r="E5" s="44">
        <v>0</v>
      </c>
      <c r="F5" s="44">
        <v>188.68</v>
      </c>
      <c r="G5" s="44"/>
      <c r="H5" s="44"/>
      <c r="I5" s="44"/>
      <c r="J5" s="44">
        <v>0</v>
      </c>
      <c r="K5" s="44"/>
      <c r="L5" s="44"/>
      <c r="M5" s="45"/>
    </row>
    <row r="6" ht="30" customHeight="1" spans="1:16">
      <c r="A6" s="42" t="s">
        <v>69</v>
      </c>
      <c r="B6" s="43"/>
      <c r="C6" s="44">
        <f t="shared" si="0"/>
        <v>4</v>
      </c>
      <c r="D6" s="44">
        <f t="shared" si="1"/>
        <v>63</v>
      </c>
      <c r="E6" s="44"/>
      <c r="F6" s="44"/>
      <c r="G6" s="44"/>
      <c r="H6" s="44"/>
      <c r="I6" s="44"/>
      <c r="J6" s="44"/>
      <c r="K6" s="44"/>
      <c r="L6" s="44"/>
      <c r="M6" s="45"/>
    </row>
    <row r="7" ht="30" customHeight="1" spans="1:16">
      <c r="A7" s="42" t="s">
        <v>229</v>
      </c>
      <c r="B7" s="43"/>
      <c r="C7" s="44">
        <f t="shared" si="0"/>
        <v>3</v>
      </c>
      <c r="D7" s="44">
        <f t="shared" si="1"/>
        <v>12</v>
      </c>
      <c r="E7" s="44"/>
      <c r="F7" s="44"/>
      <c r="G7" s="44"/>
      <c r="H7" s="44"/>
      <c r="I7" s="44"/>
      <c r="J7" s="44"/>
      <c r="K7" s="44"/>
      <c r="L7" s="44"/>
      <c r="M7" s="45"/>
    </row>
    <row r="8" ht="30" customHeight="1" spans="1:16">
      <c r="A8" s="42" t="s">
        <v>125</v>
      </c>
      <c r="B8" s="43"/>
      <c r="C8" s="44">
        <f t="shared" si="0"/>
        <v>10</v>
      </c>
      <c r="D8" s="44">
        <f t="shared" si="1"/>
        <v>90</v>
      </c>
      <c r="E8" s="44"/>
      <c r="F8" s="44"/>
      <c r="G8" s="44"/>
      <c r="H8" s="44"/>
      <c r="I8" s="44"/>
      <c r="J8" s="44"/>
      <c r="K8" s="44"/>
      <c r="L8" s="44"/>
      <c r="M8" s="45"/>
    </row>
    <row r="9" ht="30" customHeight="1" spans="1:16">
      <c r="A9" s="42" t="s">
        <v>44</v>
      </c>
      <c r="B9" s="43"/>
      <c r="C9" s="44">
        <f t="shared" si="0"/>
        <v>4</v>
      </c>
      <c r="D9" s="44">
        <f t="shared" si="1"/>
        <v>22</v>
      </c>
      <c r="E9" s="44"/>
      <c r="F9" s="44"/>
      <c r="G9" s="44"/>
      <c r="H9" s="44"/>
      <c r="I9" s="44"/>
      <c r="J9" s="44"/>
      <c r="K9" s="44"/>
      <c r="L9" s="44"/>
      <c r="M9" s="45"/>
    </row>
    <row r="10" ht="30" customHeight="1" spans="1:16">
      <c r="A10" s="42" t="s">
        <v>244</v>
      </c>
      <c r="B10" s="43"/>
      <c r="C10" s="43">
        <v>43</v>
      </c>
      <c r="D10" s="43">
        <v>5313</v>
      </c>
      <c r="E10" s="43">
        <v>2378</v>
      </c>
      <c r="F10" s="43" t="s">
        <v>245</v>
      </c>
      <c r="G10" s="43"/>
      <c r="H10" s="43"/>
      <c r="I10" s="43"/>
      <c r="J10" s="43">
        <f>$L$28</f>
        <v>5.28</v>
      </c>
      <c r="K10" s="43"/>
      <c r="L10" s="43"/>
      <c r="M10" s="46"/>
    </row>
    <row r="11" ht="30" customHeight="1" spans="1:16">
      <c r="A11" s="47" t="s">
        <v>246</v>
      </c>
      <c r="B11" s="48"/>
      <c r="C11" s="48"/>
      <c r="D11" s="48" t="str">
        <f ca="1">N1</f>
        <v>2026年08月19日</v>
      </c>
      <c r="E11" s="48"/>
      <c r="F11" s="48" t="s">
        <v>247</v>
      </c>
      <c r="G11" s="48"/>
      <c r="H11" s="48"/>
      <c r="I11" s="48"/>
      <c r="J11" s="48" t="str">
        <f>O1</f>
        <v>长途传输局1楼会议室</v>
      </c>
      <c r="K11" s="48"/>
      <c r="L11" s="48"/>
      <c r="M11" s="49"/>
    </row>
    <row r="12" ht="30" customHeight="1" spans="1:16">
      <c r="A12" s="50" t="str">
        <f>"    `召开总经理办公会对：【2022年中国电信宁夏公司IT系统BMO拉通数字化转型竞赛客服检查等43项软件开发项目】进行了审议，共【43】个需求，评审通过【43】个需求."</f>
        <v>    `召开总经理办公会对：【2022年中国电信宁夏公司IT系统BMO拉通数字化转型竞赛客服检查等43项软件开发项目】进行了审议，共【43】个需求，评审通过【43】个需求.</v>
      </c>
      <c r="B12" s="51"/>
      <c r="C12" s="51"/>
      <c r="D12" s="51"/>
      <c r="E12" s="51"/>
      <c r="F12" s="51"/>
      <c r="G12" s="51"/>
      <c r="H12" s="51"/>
      <c r="I12" s="51"/>
      <c r="J12" s="51"/>
      <c r="K12" s="51"/>
      <c r="L12" s="51"/>
      <c r="M12" s="52"/>
    </row>
    <row r="13" ht="30" customHeight="1" spans="1:16">
      <c r="A13" s="53" t="s">
        <v>248</v>
      </c>
      <c r="B13" s="54"/>
      <c r="C13" s="54"/>
      <c r="D13" s="54"/>
      <c r="E13" s="54"/>
      <c r="F13" s="54"/>
      <c r="G13" s="54"/>
      <c r="H13" s="54"/>
      <c r="I13" s="54"/>
      <c r="J13" s="54"/>
      <c r="K13" s="54"/>
      <c r="L13" s="54"/>
      <c r="M13" s="55"/>
    </row>
    <row r="14" ht="30" customHeight="1" spans="1:16">
      <c r="A14" s="56"/>
      <c r="B14" s="57"/>
      <c r="C14" s="57"/>
      <c r="D14" s="57"/>
      <c r="E14" s="57"/>
      <c r="F14" s="57"/>
      <c r="G14" s="57"/>
      <c r="H14" s="57"/>
      <c r="I14" s="57"/>
      <c r="J14" s="57"/>
      <c r="K14" s="57"/>
      <c r="L14" s="57"/>
      <c r="M14" s="58"/>
    </row>
    <row r="15" ht="30" customHeight="1" spans="1:16">
      <c r="A15" s="59" t="s">
        <v>249</v>
      </c>
      <c r="B15" s="60"/>
      <c r="C15" s="60"/>
      <c r="D15" s="60"/>
      <c r="E15" s="60"/>
      <c r="F15" s="60"/>
      <c r="G15" s="60"/>
      <c r="H15" s="60"/>
      <c r="I15" s="60"/>
      <c r="J15" s="60"/>
      <c r="K15" s="60"/>
      <c r="L15" s="60"/>
      <c r="M15" s="61"/>
    </row>
    <row r="16" ht="30" customHeight="1" spans="1:16">
      <c r="A16" s="50" t="s">
        <v>250</v>
      </c>
      <c r="B16" s="51"/>
      <c r="C16" s="51"/>
      <c r="D16" s="51"/>
      <c r="E16" s="51"/>
      <c r="F16" s="51"/>
      <c r="G16" s="51"/>
      <c r="H16" s="51"/>
      <c r="I16" s="51"/>
      <c r="J16" s="51"/>
      <c r="K16" s="51"/>
      <c r="L16" s="51"/>
      <c r="M16" s="52"/>
    </row>
    <row r="17" ht="30" customHeight="1" spans="1:22">
      <c r="A17" s="62" t="s">
        <v>251</v>
      </c>
      <c r="B17" s="63"/>
      <c r="C17" s="63"/>
      <c r="D17" s="63"/>
      <c r="E17" s="63"/>
      <c r="F17" s="63"/>
      <c r="G17" s="63"/>
      <c r="H17" s="63"/>
      <c r="I17" s="63"/>
      <c r="J17" s="63"/>
      <c r="K17" s="63"/>
      <c r="L17" s="63"/>
      <c r="M17" s="64"/>
    </row>
    <row r="18" ht="35.1" customHeight="1" spans="1:22">
      <c r="A18" s="65" t="s">
        <v>252</v>
      </c>
      <c r="B18" s="66"/>
      <c r="C18" s="67"/>
      <c r="D18" s="68"/>
      <c r="E18" s="69"/>
      <c r="F18" s="67"/>
      <c r="G18" s="70"/>
      <c r="H18" s="70"/>
      <c r="I18" s="68"/>
      <c r="J18" s="67"/>
      <c r="K18" s="70"/>
      <c r="L18" s="70"/>
      <c r="M18" s="71"/>
    </row>
    <row r="19" ht="35.1" customHeight="1" spans="1:22">
      <c r="A19" s="65"/>
      <c r="B19" s="66"/>
      <c r="C19" s="72"/>
      <c r="D19" s="73"/>
      <c r="E19" s="74"/>
      <c r="F19" s="72"/>
      <c r="G19" s="75"/>
      <c r="H19" s="75"/>
      <c r="I19" s="73"/>
      <c r="J19" s="72"/>
      <c r="K19" s="75"/>
      <c r="L19" s="75"/>
      <c r="M19" s="76"/>
    </row>
    <row r="20" ht="35.1" customHeight="1" spans="1:22">
      <c r="A20" s="77"/>
      <c r="B20" s="78"/>
      <c r="C20" s="79"/>
      <c r="D20" s="80"/>
      <c r="E20" s="81"/>
      <c r="F20" s="79"/>
      <c r="G20" s="82"/>
      <c r="H20" s="82"/>
      <c r="I20" s="80"/>
      <c r="J20" s="79"/>
      <c r="K20" s="82"/>
      <c r="L20" s="82"/>
      <c r="M20" s="83"/>
    </row>
    <row r="21" ht="35.1" customHeight="1" spans="1:22">
      <c r="A21" s="84" t="s">
        <v>253</v>
      </c>
      <c r="B21" s="85"/>
      <c r="C21" s="86"/>
      <c r="D21" s="87"/>
      <c r="E21" s="88"/>
      <c r="F21" s="89" t="s">
        <v>254</v>
      </c>
      <c r="G21" s="54"/>
      <c r="H21" s="54"/>
      <c r="I21" s="90"/>
      <c r="J21" s="89" t="s">
        <v>255</v>
      </c>
      <c r="K21" s="54"/>
      <c r="L21" s="54"/>
      <c r="M21" s="55"/>
    </row>
    <row r="22" ht="35.1" customHeight="1" spans="1:22">
      <c r="A22" s="77"/>
      <c r="B22" s="78"/>
      <c r="C22" s="79"/>
      <c r="D22" s="80"/>
      <c r="E22" s="91"/>
      <c r="F22" s="92"/>
      <c r="G22" s="57"/>
      <c r="H22" s="57"/>
      <c r="I22" s="93"/>
      <c r="J22" s="92"/>
      <c r="K22" s="57"/>
      <c r="L22" s="57"/>
      <c r="M22" s="58"/>
    </row>
    <row r="23" ht="35.1" customHeight="1" spans="1:22">
      <c r="A23" s="84" t="s">
        <v>256</v>
      </c>
      <c r="B23" s="85"/>
      <c r="C23" s="94"/>
      <c r="D23" s="95"/>
      <c r="E23" s="96"/>
      <c r="F23" s="97" t="s">
        <v>257</v>
      </c>
      <c r="G23" s="95"/>
      <c r="H23" s="95"/>
      <c r="I23" s="95"/>
      <c r="J23" s="95"/>
      <c r="K23" s="95"/>
      <c r="L23" s="95"/>
      <c r="M23" s="98"/>
    </row>
    <row r="24" ht="35.1" customHeight="1" spans="1:22">
      <c r="A24" s="99"/>
      <c r="B24" s="100"/>
      <c r="C24" s="101"/>
      <c r="D24" s="102"/>
      <c r="E24" s="103"/>
      <c r="F24" s="104"/>
      <c r="G24" s="102"/>
      <c r="H24" s="102"/>
      <c r="I24" s="102"/>
      <c r="J24" s="102"/>
      <c r="K24" s="102"/>
      <c r="L24" s="102"/>
      <c r="M24" s="105"/>
    </row>
    <row r="25" s="30" customFormat="1" ht="30" customHeight="1" spans="1:22">
      <c r="A25" s="106" t="s">
        <v>258</v>
      </c>
      <c r="B25" s="106"/>
      <c r="C25" s="106"/>
      <c r="D25" s="106"/>
      <c r="E25" s="106"/>
      <c r="F25" s="106"/>
      <c r="G25" s="106"/>
      <c r="H25" s="106"/>
      <c r="I25" s="107" t="str">
        <f>"-软件工作量评审清单表"</f>
        <v>-软件工作量评审清单表</v>
      </c>
      <c r="J25" s="107"/>
      <c r="K25" s="107"/>
      <c r="L25" s="107"/>
      <c r="M25" s="107"/>
      <c r="N25" s="107"/>
      <c r="O25" s="108"/>
      <c r="P25" s="108"/>
      <c r="Q25" s="108"/>
      <c r="R25" s="108"/>
      <c r="S25" s="109"/>
      <c r="T25" s="109"/>
      <c r="U25" s="110"/>
      <c r="V25" s="110"/>
    </row>
    <row r="26" s="31" customFormat="1" ht="41.25" customHeight="1" spans="1:22">
      <c r="A26" s="111" t="s">
        <v>259</v>
      </c>
      <c r="B26" s="111"/>
      <c r="C26" s="112"/>
      <c r="D26" s="112"/>
      <c r="E26" s="113" t="s">
        <v>260</v>
      </c>
      <c r="F26" s="114" t="s">
        <v>261</v>
      </c>
      <c r="G26" s="114"/>
      <c r="H26" s="112" t="s">
        <v>262</v>
      </c>
      <c r="I26" s="115" t="s">
        <v>263</v>
      </c>
      <c r="J26" s="115"/>
      <c r="K26" s="115"/>
      <c r="L26" s="115"/>
      <c r="M26" s="115"/>
      <c r="N26" s="111"/>
      <c r="O26" s="116"/>
    </row>
    <row r="27" s="32" customFormat="1" ht="50.1" customHeight="1" spans="1:22">
      <c r="A27" s="117" t="s">
        <v>7</v>
      </c>
      <c r="B27" s="117" t="s">
        <v>8</v>
      </c>
      <c r="C27" s="117" t="s">
        <v>9</v>
      </c>
      <c r="D27" s="117" t="s">
        <v>10</v>
      </c>
      <c r="E27" s="117" t="s">
        <v>11</v>
      </c>
      <c r="F27" s="117" t="s">
        <v>15</v>
      </c>
      <c r="G27" s="117" t="s">
        <v>16</v>
      </c>
      <c r="H27" s="117" t="s">
        <v>264</v>
      </c>
      <c r="I27" s="117" t="s">
        <v>265</v>
      </c>
      <c r="J27" s="117" t="s">
        <v>266</v>
      </c>
      <c r="K27" s="117" t="s">
        <v>242</v>
      </c>
      <c r="L27" s="117" t="s">
        <v>19</v>
      </c>
      <c r="M27" s="117" t="s">
        <v>267</v>
      </c>
      <c r="N27" s="117" t="s">
        <v>268</v>
      </c>
      <c r="O27" s="118" t="s">
        <v>269</v>
      </c>
    </row>
    <row r="28" s="31" customFormat="1" ht="34.5" customHeight="1" spans="1:22">
      <c r="A28" s="119" t="s">
        <v>20</v>
      </c>
      <c r="B28" s="119"/>
      <c r="C28" s="119"/>
      <c r="D28" s="119"/>
      <c r="E28" s="119"/>
      <c r="F28" s="119"/>
      <c r="G28" s="119"/>
      <c r="H28" s="119"/>
      <c r="I28" s="120" t="e">
        <f>ROUND(SUM(I$29:I$31)+I$36*I$32,0)</f>
        <v>#REF!</v>
      </c>
      <c r="J28" s="120">
        <f>ROUND(SUM(J$29:J$31)+J$36*K$32,0)</f>
        <v>70</v>
      </c>
      <c r="K28" s="121"/>
      <c r="L28" s="122">
        <f>IFERROR(ROUND($J$28*$K$29/10000,2),"")</f>
        <v>5.28</v>
      </c>
      <c r="M28" s="120"/>
      <c r="N28" s="120"/>
      <c r="O28" s="123"/>
    </row>
    <row r="29" s="33" customFormat="1" ht="16.5" customHeight="1" spans="1:22">
      <c r="A29" s="124">
        <v>0</v>
      </c>
      <c r="B29" s="124" t="s">
        <v>270</v>
      </c>
      <c r="C29" s="125" t="s">
        <v>271</v>
      </c>
      <c r="D29" s="126"/>
      <c r="E29" s="127" t="s">
        <v>272</v>
      </c>
      <c r="F29" s="127"/>
      <c r="G29" s="127"/>
      <c r="H29" s="128"/>
      <c r="I29" s="19">
        <v>2</v>
      </c>
      <c r="J29" s="19">
        <f>I29</f>
        <v>2</v>
      </c>
      <c r="K29" s="19">
        <f>ROUND(800/1.06,3)</f>
        <v>754.717</v>
      </c>
      <c r="L29" s="129">
        <f>IFERROR(ROUND($J29*$K29/10000,4),"")</f>
        <v>0.1509</v>
      </c>
      <c r="M29" s="19"/>
      <c r="N29" s="18"/>
      <c r="O29" s="130"/>
    </row>
    <row r="30" s="33" customFormat="1" ht="16.5" customHeight="1" spans="1:22">
      <c r="A30" s="131"/>
      <c r="B30" s="131"/>
      <c r="C30" s="125" t="s">
        <v>31</v>
      </c>
      <c r="D30" s="126"/>
      <c r="E30" s="127" t="s">
        <v>32</v>
      </c>
      <c r="F30" s="127"/>
      <c r="G30" s="127"/>
      <c r="H30" s="128"/>
      <c r="I30" s="19">
        <f>ROUNDDOWN($I$36*3%,0)</f>
        <v>8</v>
      </c>
      <c r="J30" s="19">
        <f t="shared" ref="J30:J31" si="2">I30</f>
        <v>8</v>
      </c>
      <c r="K30" s="19">
        <f t="shared" ref="K30:K31" si="3">ROUND(800/1.06,3)</f>
        <v>754.717</v>
      </c>
      <c r="L30" s="129">
        <f>IFERROR(ROUND($J30*$K30/10000,4),"")</f>
        <v>0.6038</v>
      </c>
      <c r="M30" s="19"/>
      <c r="N30" s="18"/>
      <c r="O30" s="130"/>
    </row>
    <row r="31" s="33" customFormat="1" ht="16.5" customHeight="1" spans="1:22">
      <c r="A31" s="131"/>
      <c r="B31" s="132"/>
      <c r="C31" s="125" t="s">
        <v>35</v>
      </c>
      <c r="D31" s="126"/>
      <c r="E31" s="127" t="s">
        <v>36</v>
      </c>
      <c r="F31" s="127"/>
      <c r="G31" s="127"/>
      <c r="H31" s="128"/>
      <c r="I31" s="19">
        <v>0.5</v>
      </c>
      <c r="J31" s="19">
        <f t="shared" si="2"/>
        <v>0.5</v>
      </c>
      <c r="K31" s="19">
        <f t="shared" si="3"/>
        <v>754.717</v>
      </c>
      <c r="L31" s="129">
        <f>IFERROR(ROUND($J31*$K31/10000,4),"")</f>
        <v>0.0377</v>
      </c>
      <c r="M31" s="19"/>
      <c r="N31" s="18"/>
      <c r="O31" s="130"/>
    </row>
    <row r="32" s="34" customFormat="1" ht="16.5" customHeight="1" spans="1:22">
      <c r="A32" s="131"/>
      <c r="B32" s="18" t="s">
        <v>24</v>
      </c>
      <c r="C32" s="18" t="s">
        <v>25</v>
      </c>
      <c r="D32" s="129" t="s">
        <v>273</v>
      </c>
      <c r="E32" s="129"/>
      <c r="F32" s="133" t="s">
        <v>26</v>
      </c>
      <c r="G32" s="128"/>
      <c r="H32" s="19" t="e">
        <f>#REF!</f>
        <v>#REF!</v>
      </c>
      <c r="I32" s="134" t="e">
        <f>0.035*SUM($H$32:$H$35)+0.65</f>
        <v>#REF!</v>
      </c>
      <c r="J32" s="19">
        <f>VLOOKUP($F32,工作量标准!$C:$D,2,0)</f>
        <v>5</v>
      </c>
      <c r="K32" s="134">
        <f>0.035*SUM($J$32:$J$35)+0.65</f>
        <v>1.21</v>
      </c>
      <c r="L32" s="135"/>
      <c r="M32" s="136"/>
      <c r="N32" s="129" t="s">
        <v>274</v>
      </c>
      <c r="O32" s="137" t="str">
        <f>VLOOKUP($F32,工作量标准!$C:$E,3,0)</f>
        <v>1、响应速度是指系统事务的处理速度，以响应时间(从事务开始到结束)计算。
2、如果系统有多项事务处理响应时间要求不同，按最高要求来计算，例如某些事务响应时间要求是秒级的，某些事务响应时间要求是毫秒级的，则计算毫秒级。</v>
      </c>
    </row>
    <row r="33" s="34" customFormat="1" ht="16.5" customHeight="1" spans="1:15">
      <c r="A33" s="131"/>
      <c r="B33" s="18"/>
      <c r="C33" s="18" t="s">
        <v>29</v>
      </c>
      <c r="D33" s="129" t="s">
        <v>275</v>
      </c>
      <c r="E33" s="129"/>
      <c r="F33" s="133" t="s">
        <v>30</v>
      </c>
      <c r="G33" s="128"/>
      <c r="H33" s="19" t="e">
        <f>#REF!</f>
        <v>#REF!</v>
      </c>
      <c r="I33" s="138"/>
      <c r="J33" s="19">
        <f>VLOOKUP($F33,工作量标准!$C:$D,2,0)</f>
        <v>4</v>
      </c>
      <c r="K33" s="138"/>
      <c r="L33" s="139"/>
      <c r="M33" s="140"/>
      <c r="N33" s="129" t="s">
        <v>276</v>
      </c>
      <c r="O33" s="137" t="str">
        <f>VLOOKUP($F33,工作量标准!$C:$E,3,0)</f>
        <v>1、集群(cluster)是指多台不同的服务器中部署相同的应用。
2、分布式(distributed)是指多台不同的服务器中部署多个不同的服务模块，不同服务模块通过连接有效协同。
3、PASS是指平台即服务(Platform as a Service,简称为PaaS)，是云计算三种服务模式之一,位于云计算服务架构的中间层,是云计算服务的重要组成部分，可提供基础计算能力、应用接口和开发环境、运行环境等。 </v>
      </c>
    </row>
    <row r="34" s="34" customFormat="1" ht="16.5" customHeight="1" spans="1:15">
      <c r="A34" s="131"/>
      <c r="B34" s="18"/>
      <c r="C34" s="18" t="s">
        <v>33</v>
      </c>
      <c r="D34" s="129" t="s">
        <v>277</v>
      </c>
      <c r="E34" s="129"/>
      <c r="F34" s="133" t="s">
        <v>34</v>
      </c>
      <c r="G34" s="128"/>
      <c r="H34" s="19" t="e">
        <f>#REF!</f>
        <v>#REF!</v>
      </c>
      <c r="I34" s="138"/>
      <c r="J34" s="19">
        <f>VLOOKUP($F34,工作量标准!$C:$D,2,0)</f>
        <v>3</v>
      </c>
      <c r="K34" s="138"/>
      <c r="L34" s="139"/>
      <c r="M34" s="140"/>
      <c r="N34" s="129" t="s">
        <v>278</v>
      </c>
      <c r="O34" s="137" t="str">
        <f>VLOOKUP($F34,工作量标准!$C:$E,3,0)</f>
        <v>1、双机冷备是指通过特定的操作完成数据备份，主机出现故障后状态只能恢复到特定的备份时间点。
2、双机热备是指两台服务器同时运行,保持相同状态,在一台服务器出现问题时可由另一台直接提供服务。
3、异地容灾是指在不同地域(远距离)部署多套相同的应用或者数据库，当一地发生灾难后立刻由另一地的应用或数据库接管服务。</v>
      </c>
    </row>
    <row r="35" s="34" customFormat="1" ht="16.5" customHeight="1" spans="1:15">
      <c r="A35" s="132"/>
      <c r="B35" s="18"/>
      <c r="C35" s="18" t="s">
        <v>37</v>
      </c>
      <c r="D35" s="129" t="s">
        <v>279</v>
      </c>
      <c r="E35" s="129"/>
      <c r="F35" s="133" t="s">
        <v>280</v>
      </c>
      <c r="G35" s="128"/>
      <c r="H35" s="19" t="e">
        <f>#REF!</f>
        <v>#REF!</v>
      </c>
      <c r="I35" s="141"/>
      <c r="J35" s="19">
        <f>VLOOKUP($F35,工作量标准!$C:$D,2,0)</f>
        <v>4</v>
      </c>
      <c r="K35" s="141"/>
      <c r="L35" s="142"/>
      <c r="M35" s="143"/>
      <c r="N35" s="129" t="s">
        <v>281</v>
      </c>
      <c r="O35" s="137">
        <f>VLOOKUP($F35,工作量标准!$C:$E,3,0)</f>
        <v>0</v>
      </c>
    </row>
    <row r="36" customHeight="1" spans="1:15">
      <c r="A36" s="144" t="s">
        <v>39</v>
      </c>
      <c r="B36" s="144"/>
      <c r="C36" s="144"/>
      <c r="D36" s="144"/>
      <c r="E36" s="144"/>
      <c r="F36" s="144"/>
      <c r="G36" s="144"/>
      <c r="H36" s="144"/>
      <c r="I36" s="122">
        <f>SUM(I$37:I$5024)</f>
        <v>298</v>
      </c>
      <c r="J36" s="122">
        <f>SUM(J$37:J$5024)</f>
        <v>49</v>
      </c>
      <c r="K36" s="121"/>
      <c r="L36" s="122"/>
      <c r="M36" s="122"/>
      <c r="N36" s="145"/>
      <c r="O36" s="137"/>
    </row>
    <row r="37" customHeight="1" spans="1:15">
      <c r="A37" s="146">
        <v>1</v>
      </c>
      <c r="B37" s="147" t="s">
        <v>282</v>
      </c>
      <c r="C37" s="147" t="s">
        <v>283</v>
      </c>
      <c r="D37" s="147" t="s">
        <v>284</v>
      </c>
      <c r="E37" s="129" t="s">
        <v>285</v>
      </c>
      <c r="F37" s="129" t="s">
        <v>61</v>
      </c>
      <c r="G37" s="129" t="s">
        <v>62</v>
      </c>
      <c r="H37" s="129" t="s">
        <v>286</v>
      </c>
      <c r="I37" s="129">
        <v>5</v>
      </c>
      <c r="J37" s="129">
        <f>IFERROR(VLOOKUP($G37,工作量标准!$C:$D,2,0)*IF(IFERROR(FIND("A级",$H37),0)&gt;0,1,IF(IFERROR(FIND("B级",$H37),0)&gt;0,3,IF(IFERROR(FIND("C级",$H37),0)&gt;0,5,IF(IFERROR(FIND("D级",$H37),0)&gt;0,8,1)))),"")</f>
        <v>2</v>
      </c>
      <c r="K37" s="19">
        <f>IF($J37="","",ROUND(800/1.06,3))</f>
        <v>754.717</v>
      </c>
      <c r="L37" s="129">
        <f>IFERROR(ROUND($J37*$K37/10000,4),"")</f>
        <v>0.1509</v>
      </c>
      <c r="M37" s="129"/>
      <c r="N37" s="129" t="s">
        <v>287</v>
      </c>
      <c r="O37" s="137" t="str">
        <f>VLOOKUP($G37,工作量标准!$C:$E,3,0)</f>
        <v>增加一个新的页面(或窗口界面)。页面(或窗口界面)功能是指向通过前台用户界面向用户提供的功能点，原则上包含页面(或窗口界面)的所有展现逻辑和相关处理逻辑，例如：清单查询页面功能包含了清单查询输入页面展现、获取清单数据、展现清单查询结果等。</v>
      </c>
    </row>
    <row r="38" customHeight="1" spans="1:15">
      <c r="A38" s="146">
        <v>2</v>
      </c>
      <c r="B38" s="147"/>
      <c r="C38" s="147"/>
      <c r="D38" s="147"/>
      <c r="E38" s="129" t="s">
        <v>288</v>
      </c>
      <c r="F38" s="129" t="s">
        <v>61</v>
      </c>
      <c r="G38" s="129" t="s">
        <v>289</v>
      </c>
      <c r="H38" s="129" t="s">
        <v>286</v>
      </c>
      <c r="I38" s="129">
        <v>8</v>
      </c>
      <c r="J38" s="129">
        <f>IFERROR(VLOOKUP($G38,工作量标准!$C:$D,2,0)*IF(IFERROR(FIND("A级",$H38),0)&gt;0,1,IF(IFERROR(FIND("B级",$H38),0)&gt;0,3,IF(IFERROR(FIND("C级",$H38),0)&gt;0,5,IF(IFERROR(FIND("D级",$H38),0)&gt;0,8,1)))),"")</f>
        <v>1</v>
      </c>
      <c r="K38" s="19">
        <f t="shared" ref="K38:K101" si="4">IF($J38="","",ROUND(800/1.06,3))</f>
        <v>754.717</v>
      </c>
      <c r="L38" s="129">
        <f t="shared" ref="L38:L101" si="5">IFERROR(ROUND($J38*$K38/10000,4),"")</f>
        <v>0.0755</v>
      </c>
      <c r="M38" s="129"/>
      <c r="N38" s="129" t="s">
        <v>290</v>
      </c>
      <c r="O38" s="137" t="str">
        <f>VLOOKUP($G38,工作量标准!$C:$E,3,0)</f>
        <v>修改已有的页面或窗口界面</v>
      </c>
    </row>
    <row r="39" customHeight="1" spans="1:15">
      <c r="A39" s="146">
        <v>3</v>
      </c>
      <c r="B39" s="147"/>
      <c r="C39" s="147"/>
      <c r="D39" s="147"/>
      <c r="E39" s="129" t="s">
        <v>291</v>
      </c>
      <c r="F39" s="129" t="s">
        <v>67</v>
      </c>
      <c r="G39" s="129" t="s">
        <v>68</v>
      </c>
      <c r="H39" s="129" t="s">
        <v>286</v>
      </c>
      <c r="I39" s="129">
        <v>35</v>
      </c>
      <c r="J39" s="129">
        <f>IFERROR(VLOOKUP($G39,工作量标准!$C:$D,2,0)*IF(IFERROR(FIND("A级",$H39),0)&gt;0,1,IF(IFERROR(FIND("B级",$H39),0)&gt;0,3,IF(IFERROR(FIND("C级",$H39),0)&gt;0,5,IF(IFERROR(FIND("D级",$H39),0)&gt;0,8,1)))),"")</f>
        <v>4</v>
      </c>
      <c r="K39" s="19">
        <f t="shared" si="4"/>
        <v>754.717</v>
      </c>
      <c r="L39" s="129">
        <f t="shared" si="5"/>
        <v>0.3019</v>
      </c>
      <c r="M39" s="129"/>
      <c r="N39" s="129" t="s">
        <v>292</v>
      </c>
      <c r="O39" s="137" t="str">
        <f>VLOOKUP($G39,工作量标准!$C:$E,3,0)</f>
        <v>增加新的业务逻辑。业务逻辑指没有用户界面的后台应用程序的业务逻辑(后台服务处理逻辑、后台定时任务处理逻辑等)，例如话单采集、批价处理等。在特殊情况下，可以是前台复杂业务逻辑，仅当前台处理逻辑相当复杂，难以包含在界面类等功能点工作量中时才考虑使用。不包含页面上的简单处理逻辑、报表指标的简单生成逻辑、流程环节的简单流转逻辑、接口的简单处理逻辑等，相关逻辑的工作量应包含在界面类、报表类、流程类、接口类的功能点中。</v>
      </c>
    </row>
    <row r="40" customHeight="1" spans="1:15">
      <c r="A40" s="146">
        <v>4</v>
      </c>
      <c r="B40" s="147"/>
      <c r="C40" s="147"/>
      <c r="D40" s="147" t="s">
        <v>293</v>
      </c>
      <c r="E40" s="129" t="s">
        <v>294</v>
      </c>
      <c r="F40" s="129" t="s">
        <v>67</v>
      </c>
      <c r="G40" s="129" t="s">
        <v>295</v>
      </c>
      <c r="H40" s="129" t="s">
        <v>286</v>
      </c>
      <c r="I40" s="129">
        <v>25</v>
      </c>
      <c r="J40" s="129">
        <f>IFERROR(VLOOKUP($G40,工作量标准!$C:$D,2,0)*IF(IFERROR(FIND("A级",$H40),0)&gt;0,1,IF(IFERROR(FIND("B级",$H40),0)&gt;0,3,IF(IFERROR(FIND("C级",$H40),0)&gt;0,5,IF(IFERROR(FIND("D级",$H40),0)&gt;0,8,1)))),"")</f>
        <v>2</v>
      </c>
      <c r="K40" s="19">
        <f t="shared" si="4"/>
        <v>754.717</v>
      </c>
      <c r="L40" s="129">
        <f t="shared" si="5"/>
        <v>0.1509</v>
      </c>
      <c r="M40" s="129"/>
      <c r="N40" s="129" t="s">
        <v>296</v>
      </c>
      <c r="O40" s="137" t="str">
        <f>VLOOKUP($G40,工作量标准!$C:$E,3,0)</f>
        <v>修改已有的业务逻辑。</v>
      </c>
    </row>
    <row r="41" customHeight="1" spans="1:15">
      <c r="A41" s="146">
        <v>5</v>
      </c>
      <c r="B41" s="147"/>
      <c r="C41" s="147"/>
      <c r="D41" s="147"/>
      <c r="E41" s="129" t="s">
        <v>297</v>
      </c>
      <c r="F41" s="129" t="s">
        <v>78</v>
      </c>
      <c r="G41" s="129" t="s">
        <v>79</v>
      </c>
      <c r="H41" s="129" t="s">
        <v>286</v>
      </c>
      <c r="I41" s="129">
        <v>8</v>
      </c>
      <c r="J41" s="129">
        <f>IFERROR(VLOOKUP($G41,工作量标准!$C:$D,2,0)*IF(IFERROR(FIND("A级",$H41),0)&gt;0,1,IF(IFERROR(FIND("B级",$H41),0)&gt;0,3,IF(IFERROR(FIND("C级",$H41),0)&gt;0,5,IF(IFERROR(FIND("D级",$H41),0)&gt;0,8,1)))),"")</f>
        <v>4</v>
      </c>
      <c r="K41" s="19">
        <f t="shared" si="4"/>
        <v>754.717</v>
      </c>
      <c r="L41" s="129">
        <f t="shared" si="5"/>
        <v>0.3019</v>
      </c>
      <c r="M41" s="129"/>
      <c r="N41" s="129" t="s">
        <v>298</v>
      </c>
      <c r="O41" s="137" t="str">
        <f>VLOOKUP($G41,工作量标准!$C:$E,3,0)</f>
        <v>系统作为服务提供方向外部系统提供的接口。此工作量已包含所有横向系统(仅在集团层面或仅在省层面)的联调工作量，但不包含集团-省两级纵向接口联调的工作量，纵向接口联调的工作量通过纵向接口联调子类型反映。</v>
      </c>
    </row>
    <row r="42" customHeight="1" spans="1:15">
      <c r="A42" s="146">
        <v>6</v>
      </c>
      <c r="B42" s="147"/>
      <c r="C42" s="147"/>
      <c r="D42" s="147"/>
      <c r="E42" s="129" t="s">
        <v>299</v>
      </c>
      <c r="F42" s="129" t="s">
        <v>78</v>
      </c>
      <c r="G42" s="129" t="s">
        <v>111</v>
      </c>
      <c r="H42" s="129" t="s">
        <v>286</v>
      </c>
      <c r="I42" s="129">
        <v>10</v>
      </c>
      <c r="J42" s="129">
        <f>IFERROR(VLOOKUP($G42,工作量标准!$C:$D,2,0)*IF(IFERROR(FIND("A级",$H42),0)&gt;0,1,IF(IFERROR(FIND("B级",$H42),0)&gt;0,3,IF(IFERROR(FIND("C级",$H42),0)&gt;0,5,IF(IFERROR(FIND("D级",$H42),0)&gt;0,8,1)))),"")</f>
        <v>2</v>
      </c>
      <c r="K42" s="19">
        <f t="shared" si="4"/>
        <v>754.717</v>
      </c>
      <c r="L42" s="129">
        <f t="shared" si="5"/>
        <v>0.1509</v>
      </c>
      <c r="M42" s="129"/>
      <c r="N42" s="129" t="s">
        <v>300</v>
      </c>
      <c r="O42" s="137" t="str">
        <f>VLOOKUP($G42,工作量标准!$C:$E,3,0)</f>
        <v>系统作为服务消费方调用外部系统提供的接口。此工作量包含所有横向系统的联调工作量，不包含两级纵向接口联调的工作量，纵向接口联调的工作量通过纵向接口联调子类型反映</v>
      </c>
    </row>
    <row r="43" customHeight="1" spans="1:15">
      <c r="A43" s="146">
        <v>7</v>
      </c>
      <c r="B43" s="147"/>
      <c r="C43" s="147"/>
      <c r="D43" s="147"/>
      <c r="E43" s="129" t="s">
        <v>301</v>
      </c>
      <c r="F43" s="129" t="s">
        <v>78</v>
      </c>
      <c r="G43" s="129" t="s">
        <v>302</v>
      </c>
      <c r="H43" s="129" t="s">
        <v>286</v>
      </c>
      <c r="I43" s="129">
        <v>12</v>
      </c>
      <c r="J43" s="129">
        <f>IFERROR(VLOOKUP($G43,工作量标准!$C:$D,2,0)*IF(IFERROR(FIND("A级",$H43),0)&gt;0,1,IF(IFERROR(FIND("B级",$H43),0)&gt;0,3,IF(IFERROR(FIND("C级",$H43),0)&gt;0,5,IF(IFERROR(FIND("D级",$H43),0)&gt;0,8,1)))),"")</f>
        <v>2</v>
      </c>
      <c r="K43" s="19">
        <f t="shared" si="4"/>
        <v>754.717</v>
      </c>
      <c r="L43" s="129">
        <f t="shared" si="5"/>
        <v>0.1509</v>
      </c>
      <c r="M43" s="129"/>
      <c r="N43" s="129" t="s">
        <v>303</v>
      </c>
      <c r="O43" s="137" t="str">
        <f>VLOOKUP($G43,工作量标准!$C:$E,3,0)</f>
        <v>修改提供方接口或消费方接口。此工作量已包含所有横向系统的联调工作量，但不包含两级纵向接口联调的工作量，纵向接口联调的工作量通过纵向接口联调子类型反映</v>
      </c>
    </row>
    <row r="44" customHeight="1" spans="1:15">
      <c r="A44" s="146">
        <v>8</v>
      </c>
      <c r="B44" s="147"/>
      <c r="C44" s="147" t="s">
        <v>304</v>
      </c>
      <c r="D44" s="147" t="s">
        <v>305</v>
      </c>
      <c r="E44" s="129" t="s">
        <v>306</v>
      </c>
      <c r="F44" s="129" t="s">
        <v>78</v>
      </c>
      <c r="G44" s="129" t="s">
        <v>307</v>
      </c>
      <c r="H44" s="129" t="s">
        <v>286</v>
      </c>
      <c r="I44" s="129">
        <v>8</v>
      </c>
      <c r="J44" s="129">
        <f>IFERROR(VLOOKUP($G44,工作量标准!$C:$D,2,0)*IF(IFERROR(FIND("A级",$H44),0)&gt;0,1,IF(IFERROR(FIND("B级",$H44),0)&gt;0,3,IF(IFERROR(FIND("C级",$H44),0)&gt;0,5,IF(IFERROR(FIND("D级",$H44),0)&gt;0,8,1)))),"")</f>
        <v>0.5</v>
      </c>
      <c r="K44" s="19">
        <f t="shared" si="4"/>
        <v>754.717</v>
      </c>
      <c r="L44" s="129">
        <f t="shared" si="5"/>
        <v>0.0377</v>
      </c>
      <c r="M44" s="129"/>
      <c r="N44" s="129" t="s">
        <v>308</v>
      </c>
      <c r="O44" s="137" t="str">
        <f>VLOOKUP($G44,工作量标准!$C:$E,3,0)</f>
        <v>系统与其他系统的交互接口的联调。纵向接口联调的基准工作量和联调系统数相关，等于0.5*联调系统数</v>
      </c>
    </row>
    <row r="45" customHeight="1" spans="1:15">
      <c r="A45" s="146">
        <v>9</v>
      </c>
      <c r="B45" s="147"/>
      <c r="C45" s="147"/>
      <c r="D45" s="147"/>
      <c r="E45" s="129" t="s">
        <v>309</v>
      </c>
      <c r="F45" s="129" t="s">
        <v>69</v>
      </c>
      <c r="G45" s="129" t="s">
        <v>70</v>
      </c>
      <c r="H45" s="129" t="s">
        <v>286</v>
      </c>
      <c r="I45" s="129">
        <v>30</v>
      </c>
      <c r="J45" s="129">
        <f>IFERROR(VLOOKUP($G45,工作量标准!$C:$D,2,0)*IF(IFERROR(FIND("A级",$H45),0)&gt;0,1,IF(IFERROR(FIND("B级",$H45),0)&gt;0,3,IF(IFERROR(FIND("C级",$H45),0)&gt;0,5,IF(IFERROR(FIND("D级",$H45),0)&gt;0,8,1)))),"")</f>
        <v>4</v>
      </c>
      <c r="K45" s="19">
        <f t="shared" si="4"/>
        <v>754.717</v>
      </c>
      <c r="L45" s="129">
        <f t="shared" si="5"/>
        <v>0.3019</v>
      </c>
      <c r="M45" s="129"/>
      <c r="N45" s="129" t="s">
        <v>310</v>
      </c>
      <c r="O45" s="137" t="str">
        <f>VLOOKUP($G45,工作量标准!$C:$E,3,0)</f>
        <v>配置新的业务或管理流程，包括流程环节定义、流程编排等</v>
      </c>
    </row>
    <row r="46" customHeight="1" spans="1:15">
      <c r="A46" s="146">
        <v>10</v>
      </c>
      <c r="B46" s="147"/>
      <c r="C46" s="147"/>
      <c r="D46" s="147" t="s">
        <v>311</v>
      </c>
      <c r="E46" s="129" t="s">
        <v>306</v>
      </c>
      <c r="F46" s="129" t="s">
        <v>69</v>
      </c>
      <c r="G46" s="129" t="s">
        <v>312</v>
      </c>
      <c r="H46" s="129" t="s">
        <v>286</v>
      </c>
      <c r="I46" s="129">
        <v>25</v>
      </c>
      <c r="J46" s="129">
        <f>IFERROR(VLOOKUP($G46,工作量标准!$C:$D,2,0)*IF(IFERROR(FIND("A级",$H46),0)&gt;0,1,IF(IFERROR(FIND("B级",$H46),0)&gt;0,3,IF(IFERROR(FIND("C级",$H46),0)&gt;0,5,IF(IFERROR(FIND("D级",$H46),0)&gt;0,8,1)))),"")</f>
        <v>2</v>
      </c>
      <c r="K46" s="19">
        <f t="shared" si="4"/>
        <v>754.717</v>
      </c>
      <c r="L46" s="129">
        <f t="shared" si="5"/>
        <v>0.1509</v>
      </c>
      <c r="M46" s="129"/>
      <c r="N46" s="129" t="s">
        <v>313</v>
      </c>
      <c r="O46" s="137" t="str">
        <f>VLOOKUP($G46,工作量标准!$C:$E,3,0)</f>
        <v>修改业务或管理流程的配置，包括流程环节定义、流程编排等</v>
      </c>
    </row>
    <row r="47" customHeight="1" spans="1:15">
      <c r="A47" s="146">
        <v>11</v>
      </c>
      <c r="B47" s="147"/>
      <c r="C47" s="147"/>
      <c r="D47" s="147"/>
      <c r="E47" s="129" t="s">
        <v>309</v>
      </c>
      <c r="F47" s="129" t="s">
        <v>69</v>
      </c>
      <c r="G47" s="129" t="s">
        <v>70</v>
      </c>
      <c r="H47" s="129" t="s">
        <v>286</v>
      </c>
      <c r="I47" s="129">
        <v>5</v>
      </c>
      <c r="J47" s="129">
        <f>IFERROR(VLOOKUP($G47,工作量标准!$C:$D,2,0)*IF(IFERROR(FIND("A级",$H47),0)&gt;0,1,IF(IFERROR(FIND("B级",$H47),0)&gt;0,3,IF(IFERROR(FIND("C级",$H47),0)&gt;0,5,IF(IFERROR(FIND("D级",$H47),0)&gt;0,8,1)))),"")</f>
        <v>4</v>
      </c>
      <c r="K47" s="19">
        <f t="shared" si="4"/>
        <v>754.717</v>
      </c>
      <c r="L47" s="129">
        <f t="shared" si="5"/>
        <v>0.3019</v>
      </c>
      <c r="M47" s="129"/>
      <c r="N47" s="129" t="s">
        <v>313</v>
      </c>
      <c r="O47" s="137" t="str">
        <f>VLOOKUP($G47,工作量标准!$C:$E,3,0)</f>
        <v>配置新的业务或管理流程，包括流程环节定义、流程编排等</v>
      </c>
    </row>
    <row r="48" customHeight="1" spans="1:15">
      <c r="A48" s="146">
        <v>12</v>
      </c>
      <c r="B48" s="147"/>
      <c r="C48" s="147"/>
      <c r="D48" s="147"/>
      <c r="E48" s="129" t="s">
        <v>313</v>
      </c>
      <c r="F48" s="129" t="s">
        <v>69</v>
      </c>
      <c r="G48" s="129" t="s">
        <v>312</v>
      </c>
      <c r="H48" s="129" t="s">
        <v>286</v>
      </c>
      <c r="I48" s="129">
        <v>3</v>
      </c>
      <c r="J48" s="129">
        <f>IFERROR(VLOOKUP($G48,工作量标准!$C:$D,2,0)*IF(IFERROR(FIND("A级",$H48),0)&gt;0,1,IF(IFERROR(FIND("B级",$H48),0)&gt;0,3,IF(IFERROR(FIND("C级",$H48),0)&gt;0,5,IF(IFERROR(FIND("D级",$H48),0)&gt;0,8,1)))),"")</f>
        <v>2</v>
      </c>
      <c r="K48" s="19">
        <f t="shared" si="4"/>
        <v>754.717</v>
      </c>
      <c r="L48" s="129">
        <f t="shared" si="5"/>
        <v>0.1509</v>
      </c>
      <c r="M48" s="129"/>
      <c r="N48" s="129" t="s">
        <v>313</v>
      </c>
      <c r="O48" s="137" t="str">
        <f>VLOOKUP($G48,工作量标准!$C:$E,3,0)</f>
        <v>修改业务或管理流程的配置，包括流程环节定义、流程编排等</v>
      </c>
    </row>
    <row r="49" customHeight="1" spans="1:15">
      <c r="A49" s="146">
        <v>13</v>
      </c>
      <c r="B49" s="147"/>
      <c r="C49" s="147"/>
      <c r="D49" s="147"/>
      <c r="E49" s="129"/>
      <c r="F49" s="129" t="s">
        <v>229</v>
      </c>
      <c r="G49" s="129" t="s">
        <v>230</v>
      </c>
      <c r="H49" s="129" t="s">
        <v>286</v>
      </c>
      <c r="I49" s="129">
        <v>5</v>
      </c>
      <c r="J49" s="129">
        <f>IFERROR(VLOOKUP($G49,工作量标准!$C:$D,2,0)*IF(IFERROR(FIND("A级",$H49),0)&gt;0,1,IF(IFERROR(FIND("B级",$H49),0)&gt;0,3,IF(IFERROR(FIND("C级",$H49),0)&gt;0,5,IF(IFERROR(FIND("D级",$H49),0)&gt;0,8,1)))),"")</f>
        <v>2</v>
      </c>
      <c r="K49" s="19">
        <f t="shared" si="4"/>
        <v>754.717</v>
      </c>
      <c r="L49" s="129">
        <f t="shared" si="5"/>
        <v>0.1509</v>
      </c>
      <c r="M49" s="129"/>
      <c r="N49" s="129"/>
      <c r="O49" s="137" t="str">
        <f>VLOOKUP($G49,工作量标准!$C:$E,3,0)</f>
        <v>以程序开发的方式增加新报表</v>
      </c>
    </row>
    <row r="50" customHeight="1" spans="1:15">
      <c r="A50" s="146">
        <v>14</v>
      </c>
      <c r="B50" s="147"/>
      <c r="C50" s="147"/>
      <c r="D50" s="147"/>
      <c r="E50" s="129"/>
      <c r="F50" s="129" t="s">
        <v>229</v>
      </c>
      <c r="G50" s="129" t="s">
        <v>314</v>
      </c>
      <c r="H50" s="129" t="s">
        <v>286</v>
      </c>
      <c r="I50" s="129">
        <v>2</v>
      </c>
      <c r="J50" s="129">
        <f>IFERROR(VLOOKUP($G50,工作量标准!$C:$D,2,0)*IF(IFERROR(FIND("A级",$H50),0)&gt;0,1,IF(IFERROR(FIND("B级",$H50),0)&gt;0,3,IF(IFERROR(FIND("C级",$H50),0)&gt;0,5,IF(IFERROR(FIND("D级",$H50),0)&gt;0,8,1)))),"")</f>
        <v>0.5</v>
      </c>
      <c r="K50" s="19">
        <f t="shared" si="4"/>
        <v>754.717</v>
      </c>
      <c r="L50" s="129">
        <f t="shared" si="5"/>
        <v>0.0377</v>
      </c>
      <c r="M50" s="129"/>
      <c r="N50" s="129"/>
      <c r="O50" s="137" t="str">
        <f>VLOOKUP($G50,工作量标准!$C:$E,3,0)</f>
        <v>以程序开发的方式修改原报表</v>
      </c>
    </row>
    <row r="51" customHeight="1" spans="1:15">
      <c r="A51" s="146">
        <v>15</v>
      </c>
      <c r="B51" s="147"/>
      <c r="C51" s="147"/>
      <c r="D51" s="147"/>
      <c r="E51" s="129"/>
      <c r="F51" s="129" t="s">
        <v>229</v>
      </c>
      <c r="G51" s="129" t="s">
        <v>315</v>
      </c>
      <c r="H51" s="129" t="s">
        <v>286</v>
      </c>
      <c r="I51" s="129">
        <v>5</v>
      </c>
      <c r="J51" s="129">
        <f>IFERROR(VLOOKUP($G51,工作量标准!$C:$D,2,0)*IF(IFERROR(FIND("A级",$H51),0)&gt;0,1,IF(IFERROR(FIND("B级",$H51),0)&gt;0,3,IF(IFERROR(FIND("C级",$H51),0)&gt;0,5,IF(IFERROR(FIND("D级",$H51),0)&gt;0,8,1)))),"")</f>
        <v>0.5</v>
      </c>
      <c r="K51" s="19">
        <f t="shared" si="4"/>
        <v>754.717</v>
      </c>
      <c r="L51" s="129">
        <f t="shared" si="5"/>
        <v>0.0377</v>
      </c>
      <c r="M51" s="129"/>
      <c r="N51" s="129"/>
      <c r="O51" s="137" t="str">
        <f>VLOOKUP($G51,工作量标准!$C:$E,3,0)</f>
        <v>使用报表配置工具配置新报表</v>
      </c>
    </row>
    <row r="52" customHeight="1" spans="1:15">
      <c r="A52" s="146">
        <v>16</v>
      </c>
      <c r="B52" s="147"/>
      <c r="C52" s="147"/>
      <c r="D52" s="147"/>
      <c r="E52" s="129"/>
      <c r="F52" s="129" t="s">
        <v>125</v>
      </c>
      <c r="G52" s="129" t="s">
        <v>316</v>
      </c>
      <c r="H52" s="129" t="s">
        <v>286</v>
      </c>
      <c r="I52" s="129">
        <v>8</v>
      </c>
      <c r="J52" s="129">
        <f>IFERROR(VLOOKUP($G52,工作量标准!$C:$D,2,0)*IF(IFERROR(FIND("A级",$H52),0)&gt;0,1,IF(IFERROR(FIND("B级",$H52),0)&gt;0,3,IF(IFERROR(FIND("C级",$H52),0)&gt;0,5,IF(IFERROR(FIND("D级",$H52),0)&gt;0,8,1)))),"")</f>
        <v>1</v>
      </c>
      <c r="K52" s="19">
        <f t="shared" si="4"/>
        <v>754.717</v>
      </c>
      <c r="L52" s="129">
        <f t="shared" si="5"/>
        <v>0.0755</v>
      </c>
      <c r="M52" s="129"/>
      <c r="N52" s="129"/>
      <c r="O52" s="137" t="str">
        <f>VLOOKUP($G52,工作量标准!$C:$E,3,0)</f>
        <v>新增导出数据的模板，如导出EXCEL文件数据、PDF文件数据或文本文件数据等</v>
      </c>
    </row>
    <row r="53" customHeight="1" spans="1:15">
      <c r="A53" s="146">
        <v>17</v>
      </c>
      <c r="B53" s="147"/>
      <c r="C53" s="147"/>
      <c r="D53" s="147"/>
      <c r="E53" s="129"/>
      <c r="F53" s="129" t="s">
        <v>125</v>
      </c>
      <c r="G53" s="129" t="s">
        <v>317</v>
      </c>
      <c r="H53" s="129" t="s">
        <v>286</v>
      </c>
      <c r="I53" s="129">
        <v>12</v>
      </c>
      <c r="J53" s="129">
        <f>IFERROR(VLOOKUP($G53,工作量标准!$C:$D,2,0)*IF(IFERROR(FIND("A级",$H53),0)&gt;0,1,IF(IFERROR(FIND("B级",$H53),0)&gt;0,3,IF(IFERROR(FIND("C级",$H53),0)&gt;0,5,IF(IFERROR(FIND("D级",$H53),0)&gt;0,8,1)))),"")</f>
        <v>1</v>
      </c>
      <c r="K53" s="19">
        <f t="shared" si="4"/>
        <v>754.717</v>
      </c>
      <c r="L53" s="129">
        <f t="shared" si="5"/>
        <v>0.0755</v>
      </c>
      <c r="M53" s="129"/>
      <c r="N53" s="129"/>
      <c r="O53" s="137" t="str">
        <f>VLOOKUP($G53,工作量标准!$C:$E,3,0)</f>
        <v>修改已有导出数据的模板</v>
      </c>
    </row>
    <row r="54" customHeight="1" spans="1:15">
      <c r="A54" s="146">
        <v>18</v>
      </c>
      <c r="B54" s="147"/>
      <c r="C54" s="147"/>
      <c r="D54" s="147"/>
      <c r="E54" s="129"/>
      <c r="F54" s="129" t="s">
        <v>125</v>
      </c>
      <c r="G54" s="129" t="s">
        <v>318</v>
      </c>
      <c r="H54" s="129" t="s">
        <v>286</v>
      </c>
      <c r="I54" s="129">
        <v>2</v>
      </c>
      <c r="J54" s="129">
        <f>IFERROR(VLOOKUP($G54,工作量标准!$C:$D,2,0)*IF(IFERROR(FIND("A级",$H54),0)&gt;0,1,IF(IFERROR(FIND("B级",$H54),0)&gt;0,3,IF(IFERROR(FIND("C级",$H54),0)&gt;0,5,IF(IFERROR(FIND("D级",$H54),0)&gt;0,8,1)))),"")</f>
        <v>1</v>
      </c>
      <c r="K54" s="19">
        <f t="shared" si="4"/>
        <v>754.717</v>
      </c>
      <c r="L54" s="129">
        <f t="shared" si="5"/>
        <v>0.0755</v>
      </c>
      <c r="M54" s="129"/>
      <c r="N54" s="129"/>
      <c r="O54" s="137" t="str">
        <f>VLOOKUP($G54,工作量标准!$C:$E,3,0)</f>
        <v>新增批量导入数据的功能</v>
      </c>
    </row>
    <row r="55" customHeight="1" spans="1:15">
      <c r="A55" s="146">
        <v>19</v>
      </c>
      <c r="B55" s="147"/>
      <c r="C55" s="147"/>
      <c r="D55" s="147"/>
      <c r="E55" s="129"/>
      <c r="F55" s="129" t="s">
        <v>125</v>
      </c>
      <c r="G55" s="129" t="s">
        <v>319</v>
      </c>
      <c r="H55" s="129" t="s">
        <v>286</v>
      </c>
      <c r="I55" s="129">
        <v>5</v>
      </c>
      <c r="J55" s="129">
        <f>IFERROR(VLOOKUP($G55,工作量标准!$C:$D,2,0)*IF(IFERROR(FIND("A级",$H55),0)&gt;0,1,IF(IFERROR(FIND("B级",$H55),0)&gt;0,3,IF(IFERROR(FIND("C级",$H55),0)&gt;0,5,IF(IFERROR(FIND("D级",$H55),0)&gt;0,8,1)))),"")</f>
        <v>1</v>
      </c>
      <c r="K55" s="19">
        <f t="shared" si="4"/>
        <v>754.717</v>
      </c>
      <c r="L55" s="129">
        <f t="shared" si="5"/>
        <v>0.0755</v>
      </c>
      <c r="M55" s="129"/>
      <c r="N55" s="129"/>
      <c r="O55" s="137" t="str">
        <f>VLOOKUP($G55,工作量标准!$C:$E,3,0)</f>
        <v>修改已有批量导入数据的功能，如导入EXCEL文件数据、文本文件数据等</v>
      </c>
    </row>
    <row r="56" customHeight="1" spans="1:15">
      <c r="A56" s="146">
        <v>20</v>
      </c>
      <c r="B56" s="147"/>
      <c r="C56" s="147"/>
      <c r="D56" s="147"/>
      <c r="E56" s="129"/>
      <c r="F56" s="129" t="s">
        <v>125</v>
      </c>
      <c r="G56" s="129" t="s">
        <v>320</v>
      </c>
      <c r="H56" s="129" t="s">
        <v>286</v>
      </c>
      <c r="I56" s="129">
        <v>8</v>
      </c>
      <c r="J56" s="129">
        <f>IFERROR(VLOOKUP($G56,工作量标准!$C:$D,2,0)*IF(IFERROR(FIND("A级",$H56),0)&gt;0,1,IF(IFERROR(FIND("B级",$H56),0)&gt;0,3,IF(IFERROR(FIND("C级",$H56),0)&gt;0,5,IF(IFERROR(FIND("D级",$H56),0)&gt;0,8,1)))),"")</f>
        <v>0.5</v>
      </c>
      <c r="K56" s="19">
        <f t="shared" si="4"/>
        <v>754.717</v>
      </c>
      <c r="L56" s="129">
        <f t="shared" si="5"/>
        <v>0.0377</v>
      </c>
      <c r="M56" s="129"/>
      <c r="N56" s="129"/>
      <c r="O56" s="137" t="str">
        <f>VLOOKUP($G56,工作量标准!$C:$E,3,0)</f>
        <v>根据业务部门临时性的、针对特定需求提供数据</v>
      </c>
    </row>
    <row r="57" customHeight="1" spans="1:15">
      <c r="A57" s="146">
        <v>21</v>
      </c>
      <c r="B57" s="147"/>
      <c r="C57" s="147"/>
      <c r="D57" s="147"/>
      <c r="E57" s="129"/>
      <c r="F57" s="129" t="s">
        <v>125</v>
      </c>
      <c r="G57" s="129" t="s">
        <v>321</v>
      </c>
      <c r="H57" s="129" t="s">
        <v>286</v>
      </c>
      <c r="I57" s="129">
        <v>25</v>
      </c>
      <c r="J57" s="129">
        <f>IFERROR(VLOOKUP($G57,工作量标准!$C:$D,2,0)*IF(IFERROR(FIND("A级",$H57),0)&gt;0,1,IF(IFERROR(FIND("B级",$H57),0)&gt;0,3,IF(IFERROR(FIND("C级",$H57),0)&gt;0,5,IF(IFERROR(FIND("D级",$H57),0)&gt;0,8,1)))),"")</f>
        <v>1</v>
      </c>
      <c r="K57" s="19">
        <f t="shared" si="4"/>
        <v>754.717</v>
      </c>
      <c r="L57" s="129">
        <f t="shared" si="5"/>
        <v>0.0755</v>
      </c>
      <c r="M57" s="129"/>
      <c r="N57" s="129"/>
      <c r="O57" s="137" t="str">
        <f>VLOOKUP($G57,工作量标准!$C:$E,3,0)</f>
        <v>对数据进行批量修改，如对主数据编码进行批量更新</v>
      </c>
    </row>
    <row r="58" customHeight="1" spans="1:15">
      <c r="A58" s="146">
        <v>22</v>
      </c>
      <c r="B58" s="147"/>
      <c r="C58" s="147"/>
      <c r="D58" s="147"/>
      <c r="E58" s="129"/>
      <c r="F58" s="129" t="s">
        <v>125</v>
      </c>
      <c r="G58" s="129" t="s">
        <v>129</v>
      </c>
      <c r="H58" s="129" t="s">
        <v>286</v>
      </c>
      <c r="I58" s="129">
        <v>2</v>
      </c>
      <c r="J58" s="129">
        <f>IFERROR(VLOOKUP($G58,工作量标准!$C:$D,2,0)*IF(IFERROR(FIND("A级",$H58),0)&gt;0,1,IF(IFERROR(FIND("B级",$H58),0)&gt;0,3,IF(IFERROR(FIND("C级",$H58),0)&gt;0,5,IF(IFERROR(FIND("D级",$H58),0)&gt;0,8,1)))),"")</f>
        <v>1</v>
      </c>
      <c r="K58" s="19">
        <f t="shared" si="4"/>
        <v>754.717</v>
      </c>
      <c r="L58" s="129">
        <f t="shared" si="5"/>
        <v>0.0755</v>
      </c>
      <c r="M58" s="129"/>
      <c r="N58" s="129"/>
      <c r="O58" s="137" t="str">
        <f>VLOOKUP($G58,工作量标准!$C:$E,3,0)</f>
        <v>配置系统需要的数据，包括业务数据配置、系统数据配置等，如业务规则配置、系统参数配置等等</v>
      </c>
    </row>
    <row r="59" customHeight="1" spans="1:15">
      <c r="A59" s="146">
        <v>23</v>
      </c>
      <c r="B59" s="147"/>
      <c r="C59" s="147"/>
      <c r="D59" s="147"/>
      <c r="E59" s="129"/>
      <c r="F59" s="129" t="s">
        <v>125</v>
      </c>
      <c r="G59" s="129" t="s">
        <v>126</v>
      </c>
      <c r="H59" s="129" t="s">
        <v>286</v>
      </c>
      <c r="I59" s="129">
        <v>5</v>
      </c>
      <c r="J59" s="129">
        <f>IFERROR(VLOOKUP($G59,工作量标准!$C:$D,2,0)*IF(IFERROR(FIND("A级",$H59),0)&gt;0,1,IF(IFERROR(FIND("B级",$H59),0)&gt;0,3,IF(IFERROR(FIND("C级",$H59),0)&gt;0,5,IF(IFERROR(FIND("D级",$H59),0)&gt;0,8,1)))),"")</f>
        <v>2</v>
      </c>
      <c r="K59" s="19">
        <f t="shared" si="4"/>
        <v>754.717</v>
      </c>
      <c r="L59" s="129">
        <f t="shared" si="5"/>
        <v>0.1509</v>
      </c>
      <c r="M59" s="129"/>
      <c r="N59" s="129"/>
      <c r="O59" s="137" t="str">
        <f>VLOOKUP($G59,工作量标准!$C:$E,3,0)</f>
        <v>根据稽核规则进行数据采集、比对、差异分析等</v>
      </c>
    </row>
    <row r="60" customHeight="1" spans="1:15">
      <c r="A60" s="146">
        <v>24</v>
      </c>
      <c r="B60" s="147"/>
      <c r="C60" s="147"/>
      <c r="D60" s="147"/>
      <c r="E60" s="129"/>
      <c r="F60" s="129" t="s">
        <v>125</v>
      </c>
      <c r="G60" s="129" t="s">
        <v>154</v>
      </c>
      <c r="H60" s="129" t="s">
        <v>286</v>
      </c>
      <c r="I60" s="129">
        <v>8</v>
      </c>
      <c r="J60" s="129">
        <f>IFERROR(VLOOKUP($G60,工作量标准!$C:$D,2,0)*IF(IFERROR(FIND("A级",$H60),0)&gt;0,1,IF(IFERROR(FIND("B级",$H60),0)&gt;0,3,IF(IFERROR(FIND("C级",$H60),0)&gt;0,5,IF(IFERROR(FIND("D级",$H60),0)&gt;0,8,1)))),"")</f>
        <v>2</v>
      </c>
      <c r="K60" s="19">
        <f t="shared" si="4"/>
        <v>754.717</v>
      </c>
      <c r="L60" s="129">
        <f t="shared" si="5"/>
        <v>0.1509</v>
      </c>
      <c r="M60" s="129"/>
      <c r="N60" s="129"/>
      <c r="O60" s="137" t="str">
        <f>VLOOKUP($G60,工作量标准!$C:$E,3,0)</f>
        <v>根据业务需求对数据进行加工处理，如补充数据、拆分数据、合并数据等等</v>
      </c>
    </row>
    <row r="61" customHeight="1" spans="1:15">
      <c r="A61" s="146">
        <v>25</v>
      </c>
      <c r="B61" s="147"/>
      <c r="C61" s="147"/>
      <c r="D61" s="147"/>
      <c r="E61" s="129"/>
      <c r="F61" s="129" t="s">
        <v>125</v>
      </c>
      <c r="G61" s="129" t="s">
        <v>322</v>
      </c>
      <c r="H61" s="129" t="s">
        <v>286</v>
      </c>
      <c r="I61" s="129">
        <v>15</v>
      </c>
      <c r="J61" s="129">
        <f>IFERROR(VLOOKUP($G61,工作量标准!$C:$D,2,0)*IF(IFERROR(FIND("A级",$H61),0)&gt;0,1,IF(IFERROR(FIND("B级",$H61),0)&gt;0,3,IF(IFERROR(FIND("C级",$H61),0)&gt;0,5,IF(IFERROR(FIND("D级",$H61),0)&gt;0,8,1)))),"")</f>
        <v>2</v>
      </c>
      <c r="K61" s="19">
        <f t="shared" si="4"/>
        <v>754.717</v>
      </c>
      <c r="L61" s="129">
        <f t="shared" si="5"/>
        <v>0.1509</v>
      </c>
      <c r="M61" s="129"/>
      <c r="N61" s="129"/>
      <c r="O61" s="137" t="str">
        <f>VLOOKUP($G61,工作量标准!$C:$E,3,0)</f>
        <v>根据业务需求进行数据预处理、模型假设、模型设计与实现、模型评估等，如过网话务量与实际话务量之间的关系模型测算</v>
      </c>
    </row>
    <row r="62" customHeight="1" spans="1:15">
      <c r="A62" s="146">
        <v>26</v>
      </c>
      <c r="B62" s="147"/>
      <c r="C62" s="147"/>
      <c r="D62" s="147"/>
      <c r="E62" s="129"/>
      <c r="F62" s="129" t="s">
        <v>44</v>
      </c>
      <c r="G62" s="129" t="s">
        <v>45</v>
      </c>
      <c r="H62" s="129" t="s">
        <v>286</v>
      </c>
      <c r="I62" s="129">
        <v>5</v>
      </c>
      <c r="J62" s="129">
        <f>IFERROR(VLOOKUP($G62,工作量标准!$C:$D,2,0)*IF(IFERROR(FIND("A级",$H62),0)&gt;0,1,IF(IFERROR(FIND("B级",$H62),0)&gt;0,3,IF(IFERROR(FIND("C级",$H62),0)&gt;0,5,IF(IFERROR(FIND("D级",$H62),0)&gt;0,8,1)))),"")</f>
        <v>1</v>
      </c>
      <c r="K62" s="19">
        <f t="shared" si="4"/>
        <v>754.717</v>
      </c>
      <c r="L62" s="129">
        <f t="shared" si="5"/>
        <v>0.0755</v>
      </c>
      <c r="M62" s="129"/>
      <c r="N62" s="129"/>
      <c r="O62" s="137" t="str">
        <f>VLOOKUP($G62,工作量标准!$C:$E,3,0)</f>
        <v>指因cpu扩容、内存扩容导致的主机配置实施工作</v>
      </c>
    </row>
    <row r="63" customHeight="1" spans="1:15">
      <c r="A63" s="146">
        <v>27</v>
      </c>
      <c r="B63" s="147"/>
      <c r="C63" s="147"/>
      <c r="D63" s="147"/>
      <c r="E63" s="129"/>
      <c r="F63" s="129" t="s">
        <v>44</v>
      </c>
      <c r="G63" s="129" t="s">
        <v>57</v>
      </c>
      <c r="H63" s="129" t="s">
        <v>286</v>
      </c>
      <c r="I63" s="129">
        <v>6</v>
      </c>
      <c r="J63" s="129">
        <f>IFERROR(VLOOKUP($G63,工作量标准!$C:$D,2,0)*IF(IFERROR(FIND("A级",$H63),0)&gt;0,1,IF(IFERROR(FIND("B级",$H63),0)&gt;0,3,IF(IFERROR(FIND("C级",$H63),0)&gt;0,5,IF(IFERROR(FIND("D级",$H63),0)&gt;0,8,1)))),"")</f>
        <v>1</v>
      </c>
      <c r="K63" s="19">
        <f t="shared" si="4"/>
        <v>754.717</v>
      </c>
      <c r="L63" s="129">
        <f t="shared" si="5"/>
        <v>0.0755</v>
      </c>
      <c r="M63" s="129"/>
      <c r="N63" s="129"/>
      <c r="O63" s="137" t="str">
        <f>VLOOKUP($G63,工作量标准!$C:$E,3,0)</f>
        <v>指因存储空间扩容导致的配置工作实施工作</v>
      </c>
    </row>
    <row r="64" customHeight="1" spans="1:15">
      <c r="A64" s="146">
        <v>28</v>
      </c>
      <c r="B64" s="147"/>
      <c r="C64" s="147"/>
      <c r="D64" s="147"/>
      <c r="E64" s="129"/>
      <c r="F64" s="129" t="s">
        <v>44</v>
      </c>
      <c r="G64" s="129" t="s">
        <v>54</v>
      </c>
      <c r="H64" s="129" t="s">
        <v>286</v>
      </c>
      <c r="I64" s="129">
        <v>6</v>
      </c>
      <c r="J64" s="129">
        <f>IFERROR(VLOOKUP($G64,工作量标准!$C:$D,2,0)*IF(IFERROR(FIND("A级",$H64),0)&gt;0,1,IF(IFERROR(FIND("B级",$H64),0)&gt;0,3,IF(IFERROR(FIND("C级",$H64),0)&gt;0,5,IF(IFERROR(FIND("D级",$H64),0)&gt;0,8,1)))),"")</f>
        <v>1</v>
      </c>
      <c r="K64" s="19">
        <f t="shared" si="4"/>
        <v>754.717</v>
      </c>
      <c r="L64" s="129">
        <f t="shared" si="5"/>
        <v>0.0755</v>
      </c>
      <c r="M64" s="129"/>
      <c r="N64" s="129"/>
      <c r="O64" s="137" t="str">
        <f>VLOOKUP($G64,工作量标准!$C:$E,3,0)</f>
        <v>指网络参数配置实施工作 </v>
      </c>
    </row>
    <row r="65" customHeight="1" spans="1:15">
      <c r="A65" s="146">
        <v>29</v>
      </c>
      <c r="B65" s="147"/>
      <c r="C65" s="147"/>
      <c r="D65" s="147"/>
      <c r="E65" s="129"/>
      <c r="F65" s="129" t="s">
        <v>44</v>
      </c>
      <c r="G65" s="129" t="s">
        <v>50</v>
      </c>
      <c r="H65" s="129" t="s">
        <v>286</v>
      </c>
      <c r="I65" s="129">
        <v>5</v>
      </c>
      <c r="J65" s="129">
        <f>IFERROR(VLOOKUP($G65,工作量标准!$C:$D,2,0)*IF(IFERROR(FIND("A级",$H65),0)&gt;0,1,IF(IFERROR(FIND("B级",$H65),0)&gt;0,3,IF(IFERROR(FIND("C级",$H65),0)&gt;0,5,IF(IFERROR(FIND("D级",$H65),0)&gt;0,8,1)))),"")</f>
        <v>1</v>
      </c>
      <c r="K65" s="19">
        <f t="shared" si="4"/>
        <v>754.717</v>
      </c>
      <c r="L65" s="129">
        <f t="shared" si="5"/>
        <v>0.0755</v>
      </c>
      <c r="M65" s="129"/>
      <c r="N65" s="129"/>
      <c r="O65" s="137" t="str">
        <f>VLOOKUP($G65,工作量标准!$C:$E,3,0)</f>
        <v>指平台、应用部署实施工作</v>
      </c>
    </row>
    <row r="66" customHeight="1" spans="1:15">
      <c r="A66" s="146">
        <v>30</v>
      </c>
      <c r="B66" s="147"/>
      <c r="C66" s="147"/>
      <c r="D66" s="147"/>
      <c r="E66" s="129"/>
      <c r="F66" s="129"/>
      <c r="G66" s="129"/>
      <c r="H66" s="129"/>
      <c r="I66" s="129"/>
      <c r="J66" s="129" t="str">
        <f>IFERROR(VLOOKUP($G66,工作量标准!$C:$D,2,0)*IF(IFERROR(FIND("A级",$H66),0)&gt;0,1,IF(IFERROR(FIND("B级",$H66),0)&gt;0,3,IF(IFERROR(FIND("C级",$H66),0)&gt;0,5,IF(IFERROR(FIND("D级",$H66),0)&gt;0,8,1)))),"")</f>
        <v/>
      </c>
      <c r="K66" s="19" t="str">
        <f t="shared" si="4"/>
        <v/>
      </c>
      <c r="L66" s="129" t="str">
        <f t="shared" si="5"/>
        <v/>
      </c>
      <c r="M66" s="129"/>
      <c r="N66" s="129"/>
      <c r="O66" s="137" t="e">
        <f>VLOOKUP($G66,工作量标准!$C:$E,3,0)</f>
        <v>#N/A</v>
      </c>
    </row>
    <row r="67" customHeight="1" spans="1:15">
      <c r="A67" s="146">
        <v>31</v>
      </c>
      <c r="B67" s="147"/>
      <c r="C67" s="147"/>
      <c r="D67" s="147"/>
      <c r="E67" s="129"/>
      <c r="F67" s="129"/>
      <c r="G67" s="129"/>
      <c r="H67" s="129"/>
      <c r="I67" s="129"/>
      <c r="J67" s="129" t="str">
        <f>IFERROR(VLOOKUP($G67,工作量标准!$C:$D,2,0)*IF(IFERROR(FIND("A级",$H67),0)&gt;0,1,IF(IFERROR(FIND("B级",$H67),0)&gt;0,3,IF(IFERROR(FIND("C级",$H67),0)&gt;0,5,IF(IFERROR(FIND("D级",$H67),0)&gt;0,8,1)))),"")</f>
        <v/>
      </c>
      <c r="K67" s="19" t="str">
        <f t="shared" si="4"/>
        <v/>
      </c>
      <c r="L67" s="129" t="str">
        <f t="shared" si="5"/>
        <v/>
      </c>
      <c r="M67" s="129"/>
      <c r="N67" s="129"/>
      <c r="O67" s="137" t="e">
        <f>VLOOKUP($G67,工作量标准!$C:$E,3,0)</f>
        <v>#N/A</v>
      </c>
    </row>
    <row r="68" customHeight="1" spans="1:15">
      <c r="A68" s="146">
        <v>32</v>
      </c>
      <c r="B68" s="147"/>
      <c r="C68" s="147"/>
      <c r="D68" s="147"/>
      <c r="E68" s="129"/>
      <c r="F68" s="129"/>
      <c r="G68" s="129"/>
      <c r="H68" s="129"/>
      <c r="I68" s="129"/>
      <c r="J68" s="129" t="str">
        <f>IFERROR(VLOOKUP($G68,工作量标准!$C:$D,2,0)*IF(IFERROR(FIND("A级",$H68),0)&gt;0,1,IF(IFERROR(FIND("B级",$H68),0)&gt;0,3,IF(IFERROR(FIND("C级",$H68),0)&gt;0,5,IF(IFERROR(FIND("D级",$H68),0)&gt;0,8,1)))),"")</f>
        <v/>
      </c>
      <c r="K68" s="19" t="str">
        <f t="shared" si="4"/>
        <v/>
      </c>
      <c r="L68" s="129" t="str">
        <f t="shared" si="5"/>
        <v/>
      </c>
      <c r="M68" s="129"/>
      <c r="N68" s="129"/>
      <c r="O68" s="137" t="e">
        <f>VLOOKUP($G68,工作量标准!$C:$E,3,0)</f>
        <v>#N/A</v>
      </c>
    </row>
    <row r="69" customHeight="1" spans="1:15">
      <c r="A69" s="146">
        <v>33</v>
      </c>
      <c r="B69" s="147"/>
      <c r="C69" s="147"/>
      <c r="D69" s="147"/>
      <c r="E69" s="129"/>
      <c r="F69" s="129"/>
      <c r="G69" s="129"/>
      <c r="H69" s="129"/>
      <c r="I69" s="129"/>
      <c r="J69" s="129" t="str">
        <f>IFERROR(VLOOKUP($G69,工作量标准!$C:$D,2,0)*IF(IFERROR(FIND("A级",$H69),0)&gt;0,1,IF(IFERROR(FIND("B级",$H69),0)&gt;0,3,IF(IFERROR(FIND("C级",$H69),0)&gt;0,5,IF(IFERROR(FIND("D级",$H69),0)&gt;0,8,1)))),"")</f>
        <v/>
      </c>
      <c r="K69" s="19" t="str">
        <f t="shared" si="4"/>
        <v/>
      </c>
      <c r="L69" s="129" t="str">
        <f t="shared" si="5"/>
        <v/>
      </c>
      <c r="M69" s="129"/>
      <c r="N69" s="129"/>
      <c r="O69" s="137" t="e">
        <f>VLOOKUP($G69,工作量标准!$C:$E,3,0)</f>
        <v>#N/A</v>
      </c>
    </row>
    <row r="70" customHeight="1" spans="1:15">
      <c r="A70" s="146">
        <v>34</v>
      </c>
      <c r="B70" s="147"/>
      <c r="C70" s="147"/>
      <c r="D70" s="147"/>
      <c r="E70" s="129"/>
      <c r="F70" s="129"/>
      <c r="G70" s="129"/>
      <c r="H70" s="129"/>
      <c r="I70" s="129"/>
      <c r="J70" s="129" t="str">
        <f>IFERROR(VLOOKUP($G70,工作量标准!$C:$D,2,0)*IF(IFERROR(FIND("A级",$H70),0)&gt;0,1,IF(IFERROR(FIND("B级",$H70),0)&gt;0,3,IF(IFERROR(FIND("C级",$H70),0)&gt;0,5,IF(IFERROR(FIND("D级",$H70),0)&gt;0,8,1)))),"")</f>
        <v/>
      </c>
      <c r="K70" s="19" t="str">
        <f t="shared" si="4"/>
        <v/>
      </c>
      <c r="L70" s="129" t="str">
        <f t="shared" si="5"/>
        <v/>
      </c>
      <c r="M70" s="129"/>
      <c r="N70" s="129"/>
      <c r="O70" s="137" t="e">
        <f>VLOOKUP($G70,工作量标准!$C:$E,3,0)</f>
        <v>#N/A</v>
      </c>
    </row>
    <row r="71" customHeight="1" spans="1:15">
      <c r="A71" s="146">
        <v>35</v>
      </c>
      <c r="B71" s="147"/>
      <c r="C71" s="147"/>
      <c r="D71" s="147"/>
      <c r="E71" s="129"/>
      <c r="F71" s="129"/>
      <c r="G71" s="129"/>
      <c r="H71" s="129"/>
      <c r="I71" s="129"/>
      <c r="J71" s="129" t="str">
        <f>IFERROR(VLOOKUP($G71,工作量标准!$C:$D,2,0)*IF(IFERROR(FIND("A级",$H71),0)&gt;0,1,IF(IFERROR(FIND("B级",$H71),0)&gt;0,3,IF(IFERROR(FIND("C级",$H71),0)&gt;0,5,IF(IFERROR(FIND("D级",$H71),0)&gt;0,8,1)))),"")</f>
        <v/>
      </c>
      <c r="K71" s="19" t="str">
        <f t="shared" si="4"/>
        <v/>
      </c>
      <c r="L71" s="129" t="str">
        <f t="shared" si="5"/>
        <v/>
      </c>
      <c r="M71" s="129"/>
      <c r="N71" s="129"/>
      <c r="O71" s="137" t="e">
        <f>VLOOKUP($G71,工作量标准!$C:$E,3,0)</f>
        <v>#N/A</v>
      </c>
    </row>
    <row r="72" customHeight="1" spans="1:15">
      <c r="A72" s="146">
        <v>36</v>
      </c>
      <c r="B72" s="147"/>
      <c r="C72" s="147"/>
      <c r="D72" s="147"/>
      <c r="E72" s="129"/>
      <c r="F72" s="129"/>
      <c r="G72" s="129"/>
      <c r="H72" s="129"/>
      <c r="I72" s="129"/>
      <c r="J72" s="129" t="str">
        <f>IFERROR(VLOOKUP($G72,工作量标准!$C:$D,2,0)*IF(IFERROR(FIND("A级",$H72),0)&gt;0,1,IF(IFERROR(FIND("B级",$H72),0)&gt;0,3,IF(IFERROR(FIND("C级",$H72),0)&gt;0,5,IF(IFERROR(FIND("D级",$H72),0)&gt;0,8,1)))),"")</f>
        <v/>
      </c>
      <c r="K72" s="19" t="str">
        <f t="shared" si="4"/>
        <v/>
      </c>
      <c r="L72" s="129" t="str">
        <f t="shared" si="5"/>
        <v/>
      </c>
      <c r="M72" s="129"/>
      <c r="N72" s="129"/>
      <c r="O72" s="137" t="e">
        <f>VLOOKUP($G72,工作量标准!$C:$E,3,0)</f>
        <v>#N/A</v>
      </c>
    </row>
    <row r="73" customHeight="1" spans="1:15">
      <c r="A73" s="146">
        <v>37</v>
      </c>
      <c r="B73" s="147"/>
      <c r="C73" s="147"/>
      <c r="D73" s="147"/>
      <c r="E73" s="129"/>
      <c r="F73" s="129"/>
      <c r="G73" s="129"/>
      <c r="H73" s="129"/>
      <c r="I73" s="129"/>
      <c r="J73" s="129" t="str">
        <f>IFERROR(VLOOKUP($G73,工作量标准!$C:$D,2,0)*IF(IFERROR(FIND("A级",$H73),0)&gt;0,1,IF(IFERROR(FIND("B级",$H73),0)&gt;0,3,IF(IFERROR(FIND("C级",$H73),0)&gt;0,5,IF(IFERROR(FIND("D级",$H73),0)&gt;0,8,1)))),"")</f>
        <v/>
      </c>
      <c r="K73" s="19" t="str">
        <f t="shared" si="4"/>
        <v/>
      </c>
      <c r="L73" s="129" t="str">
        <f t="shared" si="5"/>
        <v/>
      </c>
      <c r="M73" s="129"/>
      <c r="N73" s="129"/>
      <c r="O73" s="137" t="e">
        <f>VLOOKUP($G73,工作量标准!$C:$E,3,0)</f>
        <v>#N/A</v>
      </c>
    </row>
    <row r="74" customHeight="1" spans="1:15">
      <c r="A74" s="146">
        <v>38</v>
      </c>
      <c r="B74" s="147"/>
      <c r="C74" s="147"/>
      <c r="D74" s="147"/>
      <c r="E74" s="129"/>
      <c r="F74" s="129"/>
      <c r="G74" s="129"/>
      <c r="H74" s="129"/>
      <c r="I74" s="129"/>
      <c r="J74" s="129" t="str">
        <f>IFERROR(VLOOKUP($G74,工作量标准!$C:$D,2,0)*IF(IFERROR(FIND("A级",$H74),0)&gt;0,1,IF(IFERROR(FIND("B级",$H74),0)&gt;0,3,IF(IFERROR(FIND("C级",$H74),0)&gt;0,5,IF(IFERROR(FIND("D级",$H74),0)&gt;0,8,1)))),"")</f>
        <v/>
      </c>
      <c r="K74" s="19" t="str">
        <f t="shared" si="4"/>
        <v/>
      </c>
      <c r="L74" s="129" t="str">
        <f t="shared" si="5"/>
        <v/>
      </c>
      <c r="M74" s="129"/>
      <c r="N74" s="129"/>
      <c r="O74" s="137" t="e">
        <f>VLOOKUP($G74,工作量标准!$C:$E,3,0)</f>
        <v>#N/A</v>
      </c>
    </row>
    <row r="75" customHeight="1" spans="1:15">
      <c r="A75" s="146">
        <v>39</v>
      </c>
      <c r="B75" s="147"/>
      <c r="C75" s="147"/>
      <c r="D75" s="147"/>
      <c r="E75" s="129"/>
      <c r="F75" s="129"/>
      <c r="G75" s="129"/>
      <c r="H75" s="129"/>
      <c r="I75" s="129"/>
      <c r="J75" s="129" t="str">
        <f>IFERROR(VLOOKUP($G75,工作量标准!$C:$D,2,0)*IF(IFERROR(FIND("A级",$H75),0)&gt;0,1,IF(IFERROR(FIND("B级",$H75),0)&gt;0,3,IF(IFERROR(FIND("C级",$H75),0)&gt;0,5,IF(IFERROR(FIND("D级",$H75),0)&gt;0,8,1)))),"")</f>
        <v/>
      </c>
      <c r="K75" s="19" t="str">
        <f t="shared" si="4"/>
        <v/>
      </c>
      <c r="L75" s="129" t="str">
        <f t="shared" si="5"/>
        <v/>
      </c>
      <c r="M75" s="129"/>
      <c r="N75" s="129"/>
      <c r="O75" s="137" t="e">
        <f>VLOOKUP($G75,工作量标准!$C:$E,3,0)</f>
        <v>#N/A</v>
      </c>
    </row>
    <row r="76" customHeight="1" spans="1:15">
      <c r="A76" s="146">
        <v>40</v>
      </c>
      <c r="B76" s="147"/>
      <c r="C76" s="147"/>
      <c r="D76" s="147"/>
      <c r="E76" s="129"/>
      <c r="F76" s="129"/>
      <c r="G76" s="129"/>
      <c r="H76" s="129"/>
      <c r="I76" s="129"/>
      <c r="J76" s="129" t="str">
        <f>IFERROR(VLOOKUP($G76,工作量标准!$C:$D,2,0)*IF(IFERROR(FIND("A级",$H76),0)&gt;0,1,IF(IFERROR(FIND("B级",$H76),0)&gt;0,3,IF(IFERROR(FIND("C级",$H76),0)&gt;0,5,IF(IFERROR(FIND("D级",$H76),0)&gt;0,8,1)))),"")</f>
        <v/>
      </c>
      <c r="K76" s="19" t="str">
        <f t="shared" si="4"/>
        <v/>
      </c>
      <c r="L76" s="129" t="str">
        <f t="shared" si="5"/>
        <v/>
      </c>
      <c r="M76" s="129"/>
      <c r="N76" s="129"/>
      <c r="O76" s="137" t="e">
        <f>VLOOKUP($G76,工作量标准!$C:$E,3,0)</f>
        <v>#N/A</v>
      </c>
    </row>
    <row r="77" customHeight="1" spans="1:15">
      <c r="A77" s="146">
        <v>41</v>
      </c>
      <c r="B77" s="147"/>
      <c r="C77" s="147"/>
      <c r="D77" s="147"/>
      <c r="E77" s="129"/>
      <c r="F77" s="129"/>
      <c r="G77" s="129"/>
      <c r="H77" s="129"/>
      <c r="I77" s="129"/>
      <c r="J77" s="129" t="str">
        <f>IFERROR(VLOOKUP($G77,工作量标准!$C:$D,2,0)*IF(IFERROR(FIND("A级",$H77),0)&gt;0,1,IF(IFERROR(FIND("B级",$H77),0)&gt;0,3,IF(IFERROR(FIND("C级",$H77),0)&gt;0,5,IF(IFERROR(FIND("D级",$H77),0)&gt;0,8,1)))),"")</f>
        <v/>
      </c>
      <c r="K77" s="19" t="str">
        <f t="shared" si="4"/>
        <v/>
      </c>
      <c r="L77" s="129" t="str">
        <f t="shared" si="5"/>
        <v/>
      </c>
      <c r="M77" s="129"/>
      <c r="N77" s="129"/>
      <c r="O77" s="137" t="e">
        <f>VLOOKUP($G77,工作量标准!$C:$E,3,0)</f>
        <v>#N/A</v>
      </c>
    </row>
    <row r="78" customHeight="1" spans="1:15">
      <c r="A78" s="146">
        <v>42</v>
      </c>
      <c r="B78" s="147"/>
      <c r="C78" s="147"/>
      <c r="D78" s="147"/>
      <c r="E78" s="129"/>
      <c r="F78" s="129"/>
      <c r="G78" s="129"/>
      <c r="H78" s="129"/>
      <c r="I78" s="129"/>
      <c r="J78" s="129" t="str">
        <f>IFERROR(VLOOKUP($G78,工作量标准!$C:$D,2,0)*IF(IFERROR(FIND("A级",$H78),0)&gt;0,1,IF(IFERROR(FIND("B级",$H78),0)&gt;0,3,IF(IFERROR(FIND("C级",$H78),0)&gt;0,5,IF(IFERROR(FIND("D级",$H78),0)&gt;0,8,1)))),"")</f>
        <v/>
      </c>
      <c r="K78" s="19" t="str">
        <f t="shared" si="4"/>
        <v/>
      </c>
      <c r="L78" s="129" t="str">
        <f t="shared" si="5"/>
        <v/>
      </c>
      <c r="M78" s="129"/>
      <c r="N78" s="129"/>
      <c r="O78" s="137" t="e">
        <f>VLOOKUP($G78,工作量标准!$C:$E,3,0)</f>
        <v>#N/A</v>
      </c>
    </row>
    <row r="79" customHeight="1" spans="1:15">
      <c r="A79" s="146">
        <v>43</v>
      </c>
      <c r="B79" s="147"/>
      <c r="C79" s="147"/>
      <c r="D79" s="147"/>
      <c r="E79" s="129"/>
      <c r="F79" s="129"/>
      <c r="G79" s="129"/>
      <c r="H79" s="129"/>
      <c r="I79" s="129"/>
      <c r="J79" s="129" t="str">
        <f>IFERROR(VLOOKUP($G79,工作量标准!$C:$D,2,0)*IF(IFERROR(FIND("A级",$H79),0)&gt;0,1,IF(IFERROR(FIND("B级",$H79),0)&gt;0,3,IF(IFERROR(FIND("C级",$H79),0)&gt;0,5,IF(IFERROR(FIND("D级",$H79),0)&gt;0,8,1)))),"")</f>
        <v/>
      </c>
      <c r="K79" s="19" t="str">
        <f t="shared" si="4"/>
        <v/>
      </c>
      <c r="L79" s="129" t="str">
        <f t="shared" si="5"/>
        <v/>
      </c>
      <c r="M79" s="129"/>
      <c r="N79" s="129"/>
      <c r="O79" s="137" t="e">
        <f>VLOOKUP($G79,工作量标准!$C:$E,3,0)</f>
        <v>#N/A</v>
      </c>
    </row>
    <row r="80" customHeight="1" spans="1:15">
      <c r="A80" s="146">
        <v>44</v>
      </c>
      <c r="B80" s="147"/>
      <c r="C80" s="147"/>
      <c r="D80" s="147"/>
      <c r="E80" s="129"/>
      <c r="F80" s="129"/>
      <c r="G80" s="129"/>
      <c r="H80" s="129"/>
      <c r="I80" s="129"/>
      <c r="J80" s="129" t="str">
        <f>IFERROR(VLOOKUP($G80,工作量标准!$C:$D,2,0)*IF(IFERROR(FIND("A级",$H80),0)&gt;0,1,IF(IFERROR(FIND("B级",$H80),0)&gt;0,3,IF(IFERROR(FIND("C级",$H80),0)&gt;0,5,IF(IFERROR(FIND("D级",$H80),0)&gt;0,8,1)))),"")</f>
        <v/>
      </c>
      <c r="K80" s="19" t="str">
        <f t="shared" si="4"/>
        <v/>
      </c>
      <c r="L80" s="129" t="str">
        <f t="shared" si="5"/>
        <v/>
      </c>
      <c r="M80" s="129"/>
      <c r="N80" s="129"/>
      <c r="O80" s="137" t="e">
        <f>VLOOKUP($G80,工作量标准!$C:$E,3,0)</f>
        <v>#N/A</v>
      </c>
    </row>
    <row r="81" customHeight="1" spans="1:15">
      <c r="A81" s="146">
        <v>45</v>
      </c>
      <c r="B81" s="147"/>
      <c r="C81" s="147"/>
      <c r="D81" s="147"/>
      <c r="E81" s="129"/>
      <c r="F81" s="129"/>
      <c r="G81" s="129"/>
      <c r="H81" s="129"/>
      <c r="I81" s="129"/>
      <c r="J81" s="129" t="str">
        <f>IFERROR(VLOOKUP($G81,工作量标准!$C:$D,2,0)*IF(IFERROR(FIND("A级",$H81),0)&gt;0,1,IF(IFERROR(FIND("B级",$H81),0)&gt;0,3,IF(IFERROR(FIND("C级",$H81),0)&gt;0,5,IF(IFERROR(FIND("D级",$H81),0)&gt;0,8,1)))),"")</f>
        <v/>
      </c>
      <c r="K81" s="19" t="str">
        <f t="shared" si="4"/>
        <v/>
      </c>
      <c r="L81" s="129" t="str">
        <f t="shared" si="5"/>
        <v/>
      </c>
      <c r="M81" s="129"/>
      <c r="N81" s="129"/>
      <c r="O81" s="137" t="e">
        <f>VLOOKUP($G81,工作量标准!$C:$E,3,0)</f>
        <v>#N/A</v>
      </c>
    </row>
    <row r="82" customHeight="1" spans="1:15">
      <c r="A82" s="146">
        <v>46</v>
      </c>
      <c r="B82" s="147"/>
      <c r="C82" s="147"/>
      <c r="D82" s="147"/>
      <c r="E82" s="129"/>
      <c r="F82" s="129"/>
      <c r="G82" s="129"/>
      <c r="H82" s="129"/>
      <c r="I82" s="129"/>
      <c r="J82" s="129" t="str">
        <f>IFERROR(VLOOKUP($G82,工作量标准!$C:$D,2,0)*IF(IFERROR(FIND("A级",$H82),0)&gt;0,1,IF(IFERROR(FIND("B级",$H82),0)&gt;0,3,IF(IFERROR(FIND("C级",$H82),0)&gt;0,5,IF(IFERROR(FIND("D级",$H82),0)&gt;0,8,1)))),"")</f>
        <v/>
      </c>
      <c r="K82" s="19" t="str">
        <f t="shared" si="4"/>
        <v/>
      </c>
      <c r="L82" s="129" t="str">
        <f t="shared" si="5"/>
        <v/>
      </c>
      <c r="M82" s="129"/>
      <c r="N82" s="129"/>
      <c r="O82" s="137" t="e">
        <f>VLOOKUP($G82,工作量标准!$C:$E,3,0)</f>
        <v>#N/A</v>
      </c>
    </row>
    <row r="83" customHeight="1" spans="1:15">
      <c r="A83" s="146">
        <v>47</v>
      </c>
      <c r="B83" s="147"/>
      <c r="C83" s="147"/>
      <c r="D83" s="147"/>
      <c r="E83" s="129"/>
      <c r="F83" s="129"/>
      <c r="G83" s="129"/>
      <c r="H83" s="129"/>
      <c r="I83" s="129"/>
      <c r="J83" s="129" t="str">
        <f>IFERROR(VLOOKUP($G83,工作量标准!$C:$D,2,0)*IF(IFERROR(FIND("A级",$H83),0)&gt;0,1,IF(IFERROR(FIND("B级",$H83),0)&gt;0,3,IF(IFERROR(FIND("C级",$H83),0)&gt;0,5,IF(IFERROR(FIND("D级",$H83),0)&gt;0,8,1)))),"")</f>
        <v/>
      </c>
      <c r="K83" s="19" t="str">
        <f t="shared" si="4"/>
        <v/>
      </c>
      <c r="L83" s="129" t="str">
        <f t="shared" si="5"/>
        <v/>
      </c>
      <c r="M83" s="129"/>
      <c r="N83" s="129"/>
      <c r="O83" s="137" t="e">
        <f>VLOOKUP($G83,工作量标准!$C:$E,3,0)</f>
        <v>#N/A</v>
      </c>
    </row>
    <row r="84" customHeight="1" spans="1:15">
      <c r="A84" s="146">
        <v>48</v>
      </c>
      <c r="B84" s="147"/>
      <c r="C84" s="147"/>
      <c r="D84" s="147"/>
      <c r="E84" s="129"/>
      <c r="F84" s="129"/>
      <c r="G84" s="129"/>
      <c r="H84" s="129"/>
      <c r="I84" s="129"/>
      <c r="J84" s="129" t="str">
        <f>IFERROR(VLOOKUP($G84,工作量标准!$C:$D,2,0)*IF(IFERROR(FIND("A级",$H84),0)&gt;0,1,IF(IFERROR(FIND("B级",$H84),0)&gt;0,3,IF(IFERROR(FIND("C级",$H84),0)&gt;0,5,IF(IFERROR(FIND("D级",$H84),0)&gt;0,8,1)))),"")</f>
        <v/>
      </c>
      <c r="K84" s="19" t="str">
        <f t="shared" si="4"/>
        <v/>
      </c>
      <c r="L84" s="129" t="str">
        <f t="shared" si="5"/>
        <v/>
      </c>
      <c r="M84" s="129"/>
      <c r="N84" s="129"/>
      <c r="O84" s="137" t="e">
        <f>VLOOKUP($G84,工作量标准!$C:$E,3,0)</f>
        <v>#N/A</v>
      </c>
    </row>
    <row r="85" customHeight="1" spans="1:15">
      <c r="A85" s="146">
        <v>49</v>
      </c>
      <c r="B85" s="147"/>
      <c r="C85" s="147"/>
      <c r="D85" s="147"/>
      <c r="E85" s="129"/>
      <c r="F85" s="129"/>
      <c r="G85" s="129"/>
      <c r="H85" s="129"/>
      <c r="I85" s="129"/>
      <c r="J85" s="129" t="str">
        <f>IFERROR(VLOOKUP($G85,工作量标准!$C:$D,2,0)*IF(IFERROR(FIND("A级",$H85),0)&gt;0,1,IF(IFERROR(FIND("B级",$H85),0)&gt;0,3,IF(IFERROR(FIND("C级",$H85),0)&gt;0,5,IF(IFERROR(FIND("D级",$H85),0)&gt;0,8,1)))),"")</f>
        <v/>
      </c>
      <c r="K85" s="19" t="str">
        <f t="shared" si="4"/>
        <v/>
      </c>
      <c r="L85" s="129" t="str">
        <f t="shared" si="5"/>
        <v/>
      </c>
      <c r="M85" s="129"/>
      <c r="N85" s="129"/>
      <c r="O85" s="137" t="e">
        <f>VLOOKUP($G85,工作量标准!$C:$E,3,0)</f>
        <v>#N/A</v>
      </c>
    </row>
    <row r="86" customHeight="1" spans="1:15">
      <c r="A86" s="146">
        <v>50</v>
      </c>
      <c r="B86" s="147"/>
      <c r="C86" s="147"/>
      <c r="D86" s="147"/>
      <c r="E86" s="129"/>
      <c r="F86" s="129"/>
      <c r="G86" s="129"/>
      <c r="H86" s="129"/>
      <c r="I86" s="129"/>
      <c r="J86" s="129" t="str">
        <f>IFERROR(VLOOKUP($G86,工作量标准!$C:$D,2,0)*IF(IFERROR(FIND("A级",$H86),0)&gt;0,1,IF(IFERROR(FIND("B级",$H86),0)&gt;0,3,IF(IFERROR(FIND("C级",$H86),0)&gt;0,5,IF(IFERROR(FIND("D级",$H86),0)&gt;0,8,1)))),"")</f>
        <v/>
      </c>
      <c r="K86" s="19" t="str">
        <f t="shared" si="4"/>
        <v/>
      </c>
      <c r="L86" s="129" t="str">
        <f t="shared" si="5"/>
        <v/>
      </c>
      <c r="M86" s="129"/>
      <c r="N86" s="129"/>
      <c r="O86" s="137" t="e">
        <f>VLOOKUP($G86,工作量标准!$C:$E,3,0)</f>
        <v>#N/A</v>
      </c>
    </row>
    <row r="87" customHeight="1" spans="1:15">
      <c r="A87" s="146">
        <v>51</v>
      </c>
      <c r="B87" s="147"/>
      <c r="C87" s="147"/>
      <c r="D87" s="147"/>
      <c r="E87" s="129"/>
      <c r="F87" s="129"/>
      <c r="G87" s="129"/>
      <c r="H87" s="129"/>
      <c r="I87" s="129"/>
      <c r="J87" s="129" t="str">
        <f>IFERROR(VLOOKUP($G87,工作量标准!$C:$D,2,0)*IF(IFERROR(FIND("A级",$H87),0)&gt;0,1,IF(IFERROR(FIND("B级",$H87),0)&gt;0,3,IF(IFERROR(FIND("C级",$H87),0)&gt;0,5,IF(IFERROR(FIND("D级",$H87),0)&gt;0,8,1)))),"")</f>
        <v/>
      </c>
      <c r="K87" s="19" t="str">
        <f t="shared" si="4"/>
        <v/>
      </c>
      <c r="L87" s="129" t="str">
        <f t="shared" si="5"/>
        <v/>
      </c>
      <c r="M87" s="129"/>
      <c r="N87" s="129"/>
      <c r="O87" s="137" t="e">
        <f>VLOOKUP($G87,工作量标准!$C:$E,3,0)</f>
        <v>#N/A</v>
      </c>
    </row>
    <row r="88" customHeight="1" spans="1:15">
      <c r="A88" s="146">
        <v>52</v>
      </c>
      <c r="B88" s="147"/>
      <c r="C88" s="147"/>
      <c r="D88" s="147"/>
      <c r="E88" s="129"/>
      <c r="F88" s="129"/>
      <c r="G88" s="129"/>
      <c r="H88" s="129"/>
      <c r="I88" s="129"/>
      <c r="J88" s="129" t="str">
        <f>IFERROR(VLOOKUP($G88,工作量标准!$C:$D,2,0)*IF(IFERROR(FIND("A级",$H88),0)&gt;0,1,IF(IFERROR(FIND("B级",$H88),0)&gt;0,3,IF(IFERROR(FIND("C级",$H88),0)&gt;0,5,IF(IFERROR(FIND("D级",$H88),0)&gt;0,8,1)))),"")</f>
        <v/>
      </c>
      <c r="K88" s="19" t="str">
        <f t="shared" si="4"/>
        <v/>
      </c>
      <c r="L88" s="129" t="str">
        <f t="shared" si="5"/>
        <v/>
      </c>
      <c r="M88" s="129"/>
      <c r="N88" s="129"/>
      <c r="O88" s="137" t="e">
        <f>VLOOKUP($G88,工作量标准!$C:$E,3,0)</f>
        <v>#N/A</v>
      </c>
    </row>
    <row r="89" customHeight="1" spans="1:15">
      <c r="A89" s="146">
        <v>53</v>
      </c>
      <c r="B89" s="147"/>
      <c r="C89" s="147"/>
      <c r="D89" s="147"/>
      <c r="E89" s="129"/>
      <c r="F89" s="129"/>
      <c r="G89" s="129"/>
      <c r="H89" s="129"/>
      <c r="I89" s="129"/>
      <c r="J89" s="129" t="str">
        <f>IFERROR(VLOOKUP($G89,工作量标准!$C:$D,2,0)*IF(IFERROR(FIND("A级",$H89),0)&gt;0,1,IF(IFERROR(FIND("B级",$H89),0)&gt;0,3,IF(IFERROR(FIND("C级",$H89),0)&gt;0,5,IF(IFERROR(FIND("D级",$H89),0)&gt;0,8,1)))),"")</f>
        <v/>
      </c>
      <c r="K89" s="19" t="str">
        <f t="shared" si="4"/>
        <v/>
      </c>
      <c r="L89" s="129" t="str">
        <f t="shared" si="5"/>
        <v/>
      </c>
      <c r="M89" s="129"/>
      <c r="N89" s="129"/>
      <c r="O89" s="137" t="e">
        <f>VLOOKUP($G89,工作量标准!$C:$E,3,0)</f>
        <v>#N/A</v>
      </c>
    </row>
    <row r="90" customHeight="1" spans="1:15">
      <c r="A90" s="146">
        <v>54</v>
      </c>
      <c r="B90" s="147"/>
      <c r="C90" s="147"/>
      <c r="D90" s="147"/>
      <c r="E90" s="129"/>
      <c r="F90" s="129"/>
      <c r="G90" s="129"/>
      <c r="H90" s="129"/>
      <c r="I90" s="129"/>
      <c r="J90" s="129" t="str">
        <f>IFERROR(VLOOKUP($G90,工作量标准!$C:$D,2,0)*IF(IFERROR(FIND("A级",$H90),0)&gt;0,1,IF(IFERROR(FIND("B级",$H90),0)&gt;0,3,IF(IFERROR(FIND("C级",$H90),0)&gt;0,5,IF(IFERROR(FIND("D级",$H90),0)&gt;0,8,1)))),"")</f>
        <v/>
      </c>
      <c r="K90" s="19" t="str">
        <f t="shared" si="4"/>
        <v/>
      </c>
      <c r="L90" s="129" t="str">
        <f t="shared" si="5"/>
        <v/>
      </c>
      <c r="M90" s="129"/>
      <c r="N90" s="129"/>
      <c r="O90" s="137" t="e">
        <f>VLOOKUP($G90,工作量标准!$C:$E,3,0)</f>
        <v>#N/A</v>
      </c>
    </row>
    <row r="91" customHeight="1" spans="1:15">
      <c r="A91" s="146">
        <v>55</v>
      </c>
      <c r="B91" s="147"/>
      <c r="C91" s="147"/>
      <c r="D91" s="147"/>
      <c r="E91" s="129"/>
      <c r="F91" s="129"/>
      <c r="G91" s="129"/>
      <c r="H91" s="129"/>
      <c r="I91" s="129"/>
      <c r="J91" s="129" t="str">
        <f>IFERROR(VLOOKUP($G91,工作量标准!$C:$D,2,0)*IF(IFERROR(FIND("A级",$H91),0)&gt;0,1,IF(IFERROR(FIND("B级",$H91),0)&gt;0,3,IF(IFERROR(FIND("C级",$H91),0)&gt;0,5,IF(IFERROR(FIND("D级",$H91),0)&gt;0,8,1)))),"")</f>
        <v/>
      </c>
      <c r="K91" s="19" t="str">
        <f t="shared" si="4"/>
        <v/>
      </c>
      <c r="L91" s="129" t="str">
        <f t="shared" si="5"/>
        <v/>
      </c>
      <c r="M91" s="129"/>
      <c r="N91" s="129"/>
      <c r="O91" s="137" t="e">
        <f>VLOOKUP($G91,工作量标准!$C:$E,3,0)</f>
        <v>#N/A</v>
      </c>
    </row>
    <row r="92" customHeight="1" spans="1:15">
      <c r="A92" s="146">
        <v>56</v>
      </c>
      <c r="B92" s="147"/>
      <c r="C92" s="147"/>
      <c r="D92" s="147"/>
      <c r="E92" s="129"/>
      <c r="F92" s="129"/>
      <c r="G92" s="129"/>
      <c r="H92" s="129"/>
      <c r="I92" s="129"/>
      <c r="J92" s="129" t="str">
        <f>IFERROR(VLOOKUP($G92,工作量标准!$C:$D,2,0)*IF(IFERROR(FIND("A级",$H92),0)&gt;0,1,IF(IFERROR(FIND("B级",$H92),0)&gt;0,3,IF(IFERROR(FIND("C级",$H92),0)&gt;0,5,IF(IFERROR(FIND("D级",$H92),0)&gt;0,8,1)))),"")</f>
        <v/>
      </c>
      <c r="K92" s="19" t="str">
        <f t="shared" si="4"/>
        <v/>
      </c>
      <c r="L92" s="129" t="str">
        <f t="shared" si="5"/>
        <v/>
      </c>
      <c r="M92" s="129"/>
      <c r="N92" s="129"/>
      <c r="O92" s="137" t="e">
        <f>VLOOKUP($G92,工作量标准!$C:$E,3,0)</f>
        <v>#N/A</v>
      </c>
    </row>
    <row r="93" customHeight="1" spans="1:15">
      <c r="A93" s="146">
        <v>57</v>
      </c>
      <c r="B93" s="147"/>
      <c r="C93" s="147"/>
      <c r="D93" s="147"/>
      <c r="E93" s="129"/>
      <c r="F93" s="129"/>
      <c r="G93" s="129"/>
      <c r="H93" s="129"/>
      <c r="I93" s="129"/>
      <c r="J93" s="129" t="str">
        <f>IFERROR(VLOOKUP($G93,工作量标准!$C:$D,2,0)*IF(IFERROR(FIND("A级",$H93),0)&gt;0,1,IF(IFERROR(FIND("B级",$H93),0)&gt;0,3,IF(IFERROR(FIND("C级",$H93),0)&gt;0,5,IF(IFERROR(FIND("D级",$H93),0)&gt;0,8,1)))),"")</f>
        <v/>
      </c>
      <c r="K93" s="19" t="str">
        <f t="shared" si="4"/>
        <v/>
      </c>
      <c r="L93" s="129" t="str">
        <f t="shared" si="5"/>
        <v/>
      </c>
      <c r="M93" s="129"/>
      <c r="N93" s="129"/>
      <c r="O93" s="137" t="e">
        <f>VLOOKUP($G93,工作量标准!$C:$E,3,0)</f>
        <v>#N/A</v>
      </c>
    </row>
    <row r="94" customHeight="1" spans="1:15">
      <c r="A94" s="146">
        <v>58</v>
      </c>
      <c r="B94" s="147"/>
      <c r="C94" s="147"/>
      <c r="D94" s="147"/>
      <c r="E94" s="129"/>
      <c r="F94" s="129"/>
      <c r="G94" s="129"/>
      <c r="H94" s="129"/>
      <c r="I94" s="129"/>
      <c r="J94" s="129" t="str">
        <f>IFERROR(VLOOKUP($G94,工作量标准!$C:$D,2,0)*IF(IFERROR(FIND("A级",$H94),0)&gt;0,1,IF(IFERROR(FIND("B级",$H94),0)&gt;0,3,IF(IFERROR(FIND("C级",$H94),0)&gt;0,5,IF(IFERROR(FIND("D级",$H94),0)&gt;0,8,1)))),"")</f>
        <v/>
      </c>
      <c r="K94" s="19" t="str">
        <f t="shared" si="4"/>
        <v/>
      </c>
      <c r="L94" s="129" t="str">
        <f t="shared" si="5"/>
        <v/>
      </c>
      <c r="M94" s="129"/>
      <c r="N94" s="129"/>
      <c r="O94" s="137" t="e">
        <f>VLOOKUP($G94,工作量标准!$C:$E,3,0)</f>
        <v>#N/A</v>
      </c>
    </row>
    <row r="95" customHeight="1" spans="1:15">
      <c r="A95" s="146">
        <v>59</v>
      </c>
      <c r="B95" s="147"/>
      <c r="C95" s="147"/>
      <c r="D95" s="147"/>
      <c r="E95" s="129"/>
      <c r="F95" s="129"/>
      <c r="G95" s="129"/>
      <c r="H95" s="129"/>
      <c r="I95" s="129"/>
      <c r="J95" s="129" t="str">
        <f>IFERROR(VLOOKUP($G95,工作量标准!$C:$D,2,0)*IF(IFERROR(FIND("A级",$H95),0)&gt;0,1,IF(IFERROR(FIND("B级",$H95),0)&gt;0,3,IF(IFERROR(FIND("C级",$H95),0)&gt;0,5,IF(IFERROR(FIND("D级",$H95),0)&gt;0,8,1)))),"")</f>
        <v/>
      </c>
      <c r="K95" s="19" t="str">
        <f t="shared" si="4"/>
        <v/>
      </c>
      <c r="L95" s="129" t="str">
        <f t="shared" si="5"/>
        <v/>
      </c>
      <c r="M95" s="129"/>
      <c r="N95" s="129"/>
      <c r="O95" s="137" t="e">
        <f>VLOOKUP($G95,工作量标准!$C:$E,3,0)</f>
        <v>#N/A</v>
      </c>
    </row>
    <row r="96" customHeight="1" spans="1:15">
      <c r="A96" s="146">
        <v>60</v>
      </c>
      <c r="B96" s="147"/>
      <c r="C96" s="147"/>
      <c r="D96" s="147"/>
      <c r="E96" s="129"/>
      <c r="F96" s="129"/>
      <c r="G96" s="129"/>
      <c r="H96" s="129"/>
      <c r="I96" s="129"/>
      <c r="J96" s="129" t="str">
        <f>IFERROR(VLOOKUP($G96,工作量标准!$C:$D,2,0)*IF(IFERROR(FIND("A级",$H96),0)&gt;0,1,IF(IFERROR(FIND("B级",$H96),0)&gt;0,3,IF(IFERROR(FIND("C级",$H96),0)&gt;0,5,IF(IFERROR(FIND("D级",$H96),0)&gt;0,8,1)))),"")</f>
        <v/>
      </c>
      <c r="K96" s="19" t="str">
        <f t="shared" si="4"/>
        <v/>
      </c>
      <c r="L96" s="129" t="str">
        <f t="shared" si="5"/>
        <v/>
      </c>
      <c r="M96" s="129"/>
      <c r="N96" s="129"/>
      <c r="O96" s="137" t="e">
        <f>VLOOKUP($G96,工作量标准!$C:$E,3,0)</f>
        <v>#N/A</v>
      </c>
    </row>
    <row r="97" customHeight="1" spans="1:15">
      <c r="A97" s="146">
        <v>61</v>
      </c>
      <c r="B97" s="147"/>
      <c r="C97" s="147"/>
      <c r="D97" s="147"/>
      <c r="E97" s="129"/>
      <c r="F97" s="129"/>
      <c r="G97" s="129"/>
      <c r="H97" s="129"/>
      <c r="I97" s="129"/>
      <c r="J97" s="129" t="str">
        <f>IFERROR(VLOOKUP($G97,工作量标准!$C:$D,2,0)*IF(IFERROR(FIND("A级",$H97),0)&gt;0,1,IF(IFERROR(FIND("B级",$H97),0)&gt;0,3,IF(IFERROR(FIND("C级",$H97),0)&gt;0,5,IF(IFERROR(FIND("D级",$H97),0)&gt;0,8,1)))),"")</f>
        <v/>
      </c>
      <c r="K97" s="19" t="str">
        <f t="shared" si="4"/>
        <v/>
      </c>
      <c r="L97" s="129" t="str">
        <f t="shared" si="5"/>
        <v/>
      </c>
      <c r="M97" s="129"/>
      <c r="N97" s="129"/>
      <c r="O97" s="137" t="e">
        <f>VLOOKUP($G97,工作量标准!$C:$E,3,0)</f>
        <v>#N/A</v>
      </c>
    </row>
    <row r="98" customHeight="1" spans="1:15">
      <c r="A98" s="146">
        <v>62</v>
      </c>
      <c r="B98" s="147"/>
      <c r="C98" s="147"/>
      <c r="D98" s="147"/>
      <c r="E98" s="129"/>
      <c r="F98" s="129"/>
      <c r="G98" s="129"/>
      <c r="H98" s="129"/>
      <c r="I98" s="129"/>
      <c r="J98" s="129" t="str">
        <f>IFERROR(VLOOKUP($G98,工作量标准!$C:$D,2,0)*IF(IFERROR(FIND("A级",$H98),0)&gt;0,1,IF(IFERROR(FIND("B级",$H98),0)&gt;0,3,IF(IFERROR(FIND("C级",$H98),0)&gt;0,5,IF(IFERROR(FIND("D级",$H98),0)&gt;0,8,1)))),"")</f>
        <v/>
      </c>
      <c r="K98" s="19" t="str">
        <f t="shared" si="4"/>
        <v/>
      </c>
      <c r="L98" s="129" t="str">
        <f t="shared" si="5"/>
        <v/>
      </c>
      <c r="M98" s="129"/>
      <c r="N98" s="129"/>
      <c r="O98" s="137" t="e">
        <f>VLOOKUP($G98,工作量标准!$C:$E,3,0)</f>
        <v>#N/A</v>
      </c>
    </row>
    <row r="99" customHeight="1" spans="1:15">
      <c r="A99" s="146">
        <v>63</v>
      </c>
      <c r="B99" s="147"/>
      <c r="C99" s="147"/>
      <c r="D99" s="147"/>
      <c r="E99" s="129"/>
      <c r="F99" s="129"/>
      <c r="G99" s="129"/>
      <c r="H99" s="129"/>
      <c r="I99" s="129"/>
      <c r="J99" s="129" t="str">
        <f>IFERROR(VLOOKUP($G99,工作量标准!$C:$D,2,0)*IF(IFERROR(FIND("A级",$H99),0)&gt;0,1,IF(IFERROR(FIND("B级",$H99),0)&gt;0,3,IF(IFERROR(FIND("C级",$H99),0)&gt;0,5,IF(IFERROR(FIND("D级",$H99),0)&gt;0,8,1)))),"")</f>
        <v/>
      </c>
      <c r="K99" s="19" t="str">
        <f t="shared" si="4"/>
        <v/>
      </c>
      <c r="L99" s="129" t="str">
        <f t="shared" si="5"/>
        <v/>
      </c>
      <c r="M99" s="129"/>
      <c r="N99" s="129"/>
      <c r="O99" s="137" t="e">
        <f>VLOOKUP($G99,工作量标准!$C:$E,3,0)</f>
        <v>#N/A</v>
      </c>
    </row>
    <row r="100" customHeight="1" spans="1:15">
      <c r="A100" s="146">
        <v>64</v>
      </c>
      <c r="B100" s="147"/>
      <c r="C100" s="147"/>
      <c r="D100" s="147"/>
      <c r="E100" s="129"/>
      <c r="F100" s="129"/>
      <c r="G100" s="129"/>
      <c r="H100" s="129"/>
      <c r="I100" s="129"/>
      <c r="J100" s="129" t="str">
        <f>IFERROR(VLOOKUP($G100,工作量标准!$C:$D,2,0)*IF(IFERROR(FIND("A级",$H100),0)&gt;0,1,IF(IFERROR(FIND("B级",$H100),0)&gt;0,3,IF(IFERROR(FIND("C级",$H100),0)&gt;0,5,IF(IFERROR(FIND("D级",$H100),0)&gt;0,8,1)))),"")</f>
        <v/>
      </c>
      <c r="K100" s="19" t="str">
        <f t="shared" si="4"/>
        <v/>
      </c>
      <c r="L100" s="129" t="str">
        <f t="shared" si="5"/>
        <v/>
      </c>
      <c r="M100" s="129"/>
      <c r="N100" s="129"/>
      <c r="O100" s="137" t="e">
        <f>VLOOKUP($G100,工作量标准!$C:$E,3,0)</f>
        <v>#N/A</v>
      </c>
    </row>
    <row r="101" customHeight="1" spans="1:15">
      <c r="A101" s="146">
        <v>65</v>
      </c>
      <c r="B101" s="147"/>
      <c r="C101" s="147"/>
      <c r="D101" s="147"/>
      <c r="E101" s="129"/>
      <c r="F101" s="129"/>
      <c r="G101" s="129"/>
      <c r="H101" s="129"/>
      <c r="I101" s="129"/>
      <c r="J101" s="129" t="str">
        <f>IFERROR(VLOOKUP($G101,工作量标准!$C:$D,2,0)*IF(IFERROR(FIND("A级",$H101),0)&gt;0,1,IF(IFERROR(FIND("B级",$H101),0)&gt;0,3,IF(IFERROR(FIND("C级",$H101),0)&gt;0,5,IF(IFERROR(FIND("D级",$H101),0)&gt;0,8,1)))),"")</f>
        <v/>
      </c>
      <c r="K101" s="19" t="str">
        <f t="shared" si="4"/>
        <v/>
      </c>
      <c r="L101" s="129" t="str">
        <f t="shared" si="5"/>
        <v/>
      </c>
      <c r="M101" s="129"/>
      <c r="N101" s="129"/>
      <c r="O101" s="137" t="e">
        <f>VLOOKUP($G101,工作量标准!$C:$E,3,0)</f>
        <v>#N/A</v>
      </c>
    </row>
    <row r="102" customHeight="1" spans="1:15">
      <c r="A102" s="146">
        <v>66</v>
      </c>
      <c r="B102" s="147"/>
      <c r="C102" s="147"/>
      <c r="D102" s="147"/>
      <c r="E102" s="129"/>
      <c r="F102" s="129"/>
      <c r="G102" s="129"/>
      <c r="H102" s="129"/>
      <c r="I102" s="129"/>
      <c r="J102" s="129" t="str">
        <f>IFERROR(VLOOKUP($G102,工作量标准!$C:$D,2,0)*IF(IFERROR(FIND("A级",$H102),0)&gt;0,1,IF(IFERROR(FIND("B级",$H102),0)&gt;0,3,IF(IFERROR(FIND("C级",$H102),0)&gt;0,5,IF(IFERROR(FIND("D级",$H102),0)&gt;0,8,1)))),"")</f>
        <v/>
      </c>
      <c r="K102" s="19" t="str">
        <f t="shared" ref="K102:K165" si="6">IF($J102="","",ROUND(800/1.06,3))</f>
        <v/>
      </c>
      <c r="L102" s="129" t="str">
        <f t="shared" ref="L102:L165" si="7">IFERROR(ROUND($J102*$K102/10000,4),"")</f>
        <v/>
      </c>
      <c r="M102" s="129"/>
      <c r="N102" s="129"/>
      <c r="O102" s="137" t="e">
        <f>VLOOKUP($G102,工作量标准!$C:$E,3,0)</f>
        <v>#N/A</v>
      </c>
    </row>
    <row r="103" customHeight="1" spans="1:15">
      <c r="A103" s="146">
        <v>67</v>
      </c>
      <c r="B103" s="147"/>
      <c r="C103" s="147"/>
      <c r="D103" s="147"/>
      <c r="E103" s="129"/>
      <c r="F103" s="129"/>
      <c r="G103" s="129"/>
      <c r="H103" s="129"/>
      <c r="I103" s="129"/>
      <c r="J103" s="129" t="str">
        <f>IFERROR(VLOOKUP($G103,工作量标准!$C:$D,2,0)*IF(IFERROR(FIND("A级",$H103),0)&gt;0,1,IF(IFERROR(FIND("B级",$H103),0)&gt;0,3,IF(IFERROR(FIND("C级",$H103),0)&gt;0,5,IF(IFERROR(FIND("D级",$H103),0)&gt;0,8,1)))),"")</f>
        <v/>
      </c>
      <c r="K103" s="19" t="str">
        <f t="shared" si="6"/>
        <v/>
      </c>
      <c r="L103" s="129" t="str">
        <f t="shared" si="7"/>
        <v/>
      </c>
      <c r="M103" s="129"/>
      <c r="N103" s="129"/>
      <c r="O103" s="137" t="e">
        <f>VLOOKUP($G103,工作量标准!$C:$E,3,0)</f>
        <v>#N/A</v>
      </c>
    </row>
    <row r="104" customHeight="1" spans="1:15">
      <c r="A104" s="146">
        <v>68</v>
      </c>
      <c r="B104" s="147"/>
      <c r="C104" s="147"/>
      <c r="D104" s="147"/>
      <c r="E104" s="129"/>
      <c r="F104" s="129"/>
      <c r="G104" s="129"/>
      <c r="H104" s="129"/>
      <c r="I104" s="129"/>
      <c r="J104" s="129" t="str">
        <f>IFERROR(VLOOKUP($G104,工作量标准!$C:$D,2,0)*IF(IFERROR(FIND("A级",$H104),0)&gt;0,1,IF(IFERROR(FIND("B级",$H104),0)&gt;0,3,IF(IFERROR(FIND("C级",$H104),0)&gt;0,5,IF(IFERROR(FIND("D级",$H104),0)&gt;0,8,1)))),"")</f>
        <v/>
      </c>
      <c r="K104" s="19" t="str">
        <f t="shared" si="6"/>
        <v/>
      </c>
      <c r="L104" s="129" t="str">
        <f t="shared" si="7"/>
        <v/>
      </c>
      <c r="M104" s="129"/>
      <c r="N104" s="129"/>
      <c r="O104" s="137" t="e">
        <f>VLOOKUP($G104,工作量标准!$C:$E,3,0)</f>
        <v>#N/A</v>
      </c>
    </row>
    <row r="105" customHeight="1" spans="1:15">
      <c r="A105" s="146">
        <v>69</v>
      </c>
      <c r="B105" s="147"/>
      <c r="C105" s="147"/>
      <c r="D105" s="147"/>
      <c r="E105" s="129"/>
      <c r="F105" s="129"/>
      <c r="G105" s="129"/>
      <c r="H105" s="129"/>
      <c r="I105" s="129"/>
      <c r="J105" s="129" t="str">
        <f>IFERROR(VLOOKUP($G105,工作量标准!$C:$D,2,0)*IF(IFERROR(FIND("A级",$H105),0)&gt;0,1,IF(IFERROR(FIND("B级",$H105),0)&gt;0,3,IF(IFERROR(FIND("C级",$H105),0)&gt;0,5,IF(IFERROR(FIND("D级",$H105),0)&gt;0,8,1)))),"")</f>
        <v/>
      </c>
      <c r="K105" s="19" t="str">
        <f t="shared" si="6"/>
        <v/>
      </c>
      <c r="L105" s="129" t="str">
        <f t="shared" si="7"/>
        <v/>
      </c>
      <c r="M105" s="129"/>
      <c r="N105" s="129"/>
      <c r="O105" s="137" t="e">
        <f>VLOOKUP($G105,工作量标准!$C:$E,3,0)</f>
        <v>#N/A</v>
      </c>
    </row>
    <row r="106" customHeight="1" spans="1:15">
      <c r="A106" s="146">
        <v>70</v>
      </c>
      <c r="B106" s="147"/>
      <c r="C106" s="147"/>
      <c r="D106" s="147"/>
      <c r="E106" s="129"/>
      <c r="F106" s="129"/>
      <c r="G106" s="129"/>
      <c r="H106" s="129"/>
      <c r="I106" s="129"/>
      <c r="J106" s="129" t="str">
        <f>IFERROR(VLOOKUP($G106,工作量标准!$C:$D,2,0)*IF(IFERROR(FIND("A级",$H106),0)&gt;0,1,IF(IFERROR(FIND("B级",$H106),0)&gt;0,3,IF(IFERROR(FIND("C级",$H106),0)&gt;0,5,IF(IFERROR(FIND("D级",$H106),0)&gt;0,8,1)))),"")</f>
        <v/>
      </c>
      <c r="K106" s="19" t="str">
        <f t="shared" si="6"/>
        <v/>
      </c>
      <c r="L106" s="129" t="str">
        <f t="shared" si="7"/>
        <v/>
      </c>
      <c r="M106" s="129"/>
      <c r="N106" s="129"/>
      <c r="O106" s="137" t="e">
        <f>VLOOKUP($G106,工作量标准!$C:$E,3,0)</f>
        <v>#N/A</v>
      </c>
    </row>
    <row r="107" customHeight="1" spans="1:15">
      <c r="A107" s="146">
        <v>71</v>
      </c>
      <c r="B107" s="147"/>
      <c r="C107" s="147"/>
      <c r="D107" s="147"/>
      <c r="E107" s="129"/>
      <c r="F107" s="129"/>
      <c r="G107" s="129"/>
      <c r="H107" s="129"/>
      <c r="I107" s="129"/>
      <c r="J107" s="129" t="str">
        <f>IFERROR(VLOOKUP($G107,工作量标准!$C:$D,2,0)*IF(IFERROR(FIND("A级",$H107),0)&gt;0,1,IF(IFERROR(FIND("B级",$H107),0)&gt;0,3,IF(IFERROR(FIND("C级",$H107),0)&gt;0,5,IF(IFERROR(FIND("D级",$H107),0)&gt;0,8,1)))),"")</f>
        <v/>
      </c>
      <c r="K107" s="19" t="str">
        <f t="shared" si="6"/>
        <v/>
      </c>
      <c r="L107" s="129" t="str">
        <f t="shared" si="7"/>
        <v/>
      </c>
      <c r="M107" s="129"/>
      <c r="N107" s="129"/>
      <c r="O107" s="137" t="e">
        <f>VLOOKUP($G107,工作量标准!$C:$E,3,0)</f>
        <v>#N/A</v>
      </c>
    </row>
    <row r="108" customHeight="1" spans="1:15">
      <c r="A108" s="146">
        <v>72</v>
      </c>
      <c r="B108" s="147"/>
      <c r="C108" s="147"/>
      <c r="D108" s="147"/>
      <c r="E108" s="129"/>
      <c r="F108" s="129"/>
      <c r="G108" s="129"/>
      <c r="H108" s="129"/>
      <c r="I108" s="129"/>
      <c r="J108" s="129" t="str">
        <f>IFERROR(VLOOKUP($G108,工作量标准!$C:$D,2,0)*IF(IFERROR(FIND("A级",$H108),0)&gt;0,1,IF(IFERROR(FIND("B级",$H108),0)&gt;0,3,IF(IFERROR(FIND("C级",$H108),0)&gt;0,5,IF(IFERROR(FIND("D级",$H108),0)&gt;0,8,1)))),"")</f>
        <v/>
      </c>
      <c r="K108" s="19" t="str">
        <f t="shared" si="6"/>
        <v/>
      </c>
      <c r="L108" s="129" t="str">
        <f t="shared" si="7"/>
        <v/>
      </c>
      <c r="M108" s="129"/>
      <c r="N108" s="129"/>
      <c r="O108" s="137" t="e">
        <f>VLOOKUP($G108,工作量标准!$C:$E,3,0)</f>
        <v>#N/A</v>
      </c>
    </row>
    <row r="109" customHeight="1" spans="1:15">
      <c r="A109" s="146">
        <v>73</v>
      </c>
      <c r="B109" s="147"/>
      <c r="C109" s="147"/>
      <c r="D109" s="147"/>
      <c r="E109" s="129"/>
      <c r="F109" s="129"/>
      <c r="G109" s="129"/>
      <c r="H109" s="129"/>
      <c r="I109" s="129"/>
      <c r="J109" s="129" t="str">
        <f>IFERROR(VLOOKUP($G109,工作量标准!$C:$D,2,0)*IF(IFERROR(FIND("A级",$H109),0)&gt;0,1,IF(IFERROR(FIND("B级",$H109),0)&gt;0,3,IF(IFERROR(FIND("C级",$H109),0)&gt;0,5,IF(IFERROR(FIND("D级",$H109),0)&gt;0,8,1)))),"")</f>
        <v/>
      </c>
      <c r="K109" s="19" t="str">
        <f t="shared" si="6"/>
        <v/>
      </c>
      <c r="L109" s="129" t="str">
        <f t="shared" si="7"/>
        <v/>
      </c>
      <c r="M109" s="129"/>
      <c r="N109" s="129"/>
      <c r="O109" s="137" t="e">
        <f>VLOOKUP($G109,工作量标准!$C:$E,3,0)</f>
        <v>#N/A</v>
      </c>
    </row>
    <row r="110" customHeight="1" spans="1:15">
      <c r="A110" s="146">
        <v>74</v>
      </c>
      <c r="B110" s="147"/>
      <c r="C110" s="147"/>
      <c r="D110" s="147"/>
      <c r="E110" s="129"/>
      <c r="F110" s="129"/>
      <c r="G110" s="129"/>
      <c r="H110" s="129"/>
      <c r="I110" s="129"/>
      <c r="J110" s="129" t="str">
        <f>IFERROR(VLOOKUP($G110,工作量标准!$C:$D,2,0)*IF(IFERROR(FIND("A级",$H110),0)&gt;0,1,IF(IFERROR(FIND("B级",$H110),0)&gt;0,3,IF(IFERROR(FIND("C级",$H110),0)&gt;0,5,IF(IFERROR(FIND("D级",$H110),0)&gt;0,8,1)))),"")</f>
        <v/>
      </c>
      <c r="K110" s="19" t="str">
        <f t="shared" si="6"/>
        <v/>
      </c>
      <c r="L110" s="129" t="str">
        <f t="shared" si="7"/>
        <v/>
      </c>
      <c r="M110" s="129"/>
      <c r="N110" s="129"/>
      <c r="O110" s="137" t="e">
        <f>VLOOKUP($G110,工作量标准!$C:$E,3,0)</f>
        <v>#N/A</v>
      </c>
    </row>
    <row r="111" customHeight="1" spans="1:15">
      <c r="A111" s="146">
        <v>75</v>
      </c>
      <c r="B111" s="147"/>
      <c r="C111" s="147"/>
      <c r="D111" s="147"/>
      <c r="E111" s="129"/>
      <c r="F111" s="129"/>
      <c r="G111" s="129"/>
      <c r="H111" s="129"/>
      <c r="I111" s="129"/>
      <c r="J111" s="129" t="str">
        <f>IFERROR(VLOOKUP($G111,工作量标准!$C:$D,2,0)*IF(IFERROR(FIND("A级",$H111),0)&gt;0,1,IF(IFERROR(FIND("B级",$H111),0)&gt;0,3,IF(IFERROR(FIND("C级",$H111),0)&gt;0,5,IF(IFERROR(FIND("D级",$H111),0)&gt;0,8,1)))),"")</f>
        <v/>
      </c>
      <c r="K111" s="19" t="str">
        <f t="shared" si="6"/>
        <v/>
      </c>
      <c r="L111" s="129" t="str">
        <f t="shared" si="7"/>
        <v/>
      </c>
      <c r="M111" s="129"/>
      <c r="N111" s="129"/>
      <c r="O111" s="137" t="e">
        <f>VLOOKUP($G111,工作量标准!$C:$E,3,0)</f>
        <v>#N/A</v>
      </c>
    </row>
    <row r="112" customHeight="1" spans="1:15">
      <c r="A112" s="146">
        <v>76</v>
      </c>
      <c r="B112" s="147"/>
      <c r="C112" s="147"/>
      <c r="D112" s="147"/>
      <c r="E112" s="129"/>
      <c r="F112" s="129"/>
      <c r="G112" s="129"/>
      <c r="H112" s="129"/>
      <c r="I112" s="129"/>
      <c r="J112" s="129" t="str">
        <f>IFERROR(VLOOKUP($G112,工作量标准!$C:$D,2,0)*IF(IFERROR(FIND("A级",$H112),0)&gt;0,1,IF(IFERROR(FIND("B级",$H112),0)&gt;0,3,IF(IFERROR(FIND("C级",$H112),0)&gt;0,5,IF(IFERROR(FIND("D级",$H112),0)&gt;0,8,1)))),"")</f>
        <v/>
      </c>
      <c r="K112" s="19" t="str">
        <f t="shared" si="6"/>
        <v/>
      </c>
      <c r="L112" s="129" t="str">
        <f t="shared" si="7"/>
        <v/>
      </c>
      <c r="M112" s="129"/>
      <c r="N112" s="129"/>
      <c r="O112" s="137" t="e">
        <f>VLOOKUP($G112,工作量标准!$C:$E,3,0)</f>
        <v>#N/A</v>
      </c>
    </row>
    <row r="113" customHeight="1" spans="1:15">
      <c r="A113" s="146">
        <v>77</v>
      </c>
      <c r="B113" s="147"/>
      <c r="C113" s="147"/>
      <c r="D113" s="147"/>
      <c r="E113" s="129"/>
      <c r="F113" s="129"/>
      <c r="G113" s="129"/>
      <c r="H113" s="129"/>
      <c r="I113" s="129"/>
      <c r="J113" s="129" t="str">
        <f>IFERROR(VLOOKUP($G113,工作量标准!$C:$D,2,0)*IF(IFERROR(FIND("A级",$H113),0)&gt;0,1,IF(IFERROR(FIND("B级",$H113),0)&gt;0,3,IF(IFERROR(FIND("C级",$H113),0)&gt;0,5,IF(IFERROR(FIND("D级",$H113),0)&gt;0,8,1)))),"")</f>
        <v/>
      </c>
      <c r="K113" s="19" t="str">
        <f t="shared" si="6"/>
        <v/>
      </c>
      <c r="L113" s="129" t="str">
        <f t="shared" si="7"/>
        <v/>
      </c>
      <c r="M113" s="129"/>
      <c r="N113" s="129"/>
      <c r="O113" s="137" t="e">
        <f>VLOOKUP($G113,工作量标准!$C:$E,3,0)</f>
        <v>#N/A</v>
      </c>
    </row>
    <row r="114" customHeight="1" spans="1:15">
      <c r="A114" s="146">
        <v>78</v>
      </c>
      <c r="B114" s="147"/>
      <c r="C114" s="147"/>
      <c r="D114" s="147"/>
      <c r="E114" s="129"/>
      <c r="F114" s="129"/>
      <c r="G114" s="129"/>
      <c r="H114" s="129"/>
      <c r="I114" s="129"/>
      <c r="J114" s="129" t="str">
        <f>IFERROR(VLOOKUP($G114,工作量标准!$C:$D,2,0)*IF(IFERROR(FIND("A级",$H114),0)&gt;0,1,IF(IFERROR(FIND("B级",$H114),0)&gt;0,3,IF(IFERROR(FIND("C级",$H114),0)&gt;0,5,IF(IFERROR(FIND("D级",$H114),0)&gt;0,8,1)))),"")</f>
        <v/>
      </c>
      <c r="K114" s="19" t="str">
        <f t="shared" si="6"/>
        <v/>
      </c>
      <c r="L114" s="129" t="str">
        <f t="shared" si="7"/>
        <v/>
      </c>
      <c r="M114" s="129"/>
      <c r="N114" s="129"/>
      <c r="O114" s="137" t="e">
        <f>VLOOKUP($G114,工作量标准!$C:$E,3,0)</f>
        <v>#N/A</v>
      </c>
    </row>
    <row r="115" customHeight="1" spans="1:15">
      <c r="A115" s="146">
        <v>79</v>
      </c>
      <c r="B115" s="147"/>
      <c r="C115" s="147"/>
      <c r="D115" s="147"/>
      <c r="E115" s="129"/>
      <c r="F115" s="129"/>
      <c r="G115" s="129"/>
      <c r="H115" s="129"/>
      <c r="I115" s="129"/>
      <c r="J115" s="129" t="str">
        <f>IFERROR(VLOOKUP($G115,工作量标准!$C:$D,2,0)*IF(IFERROR(FIND("A级",$H115),0)&gt;0,1,IF(IFERROR(FIND("B级",$H115),0)&gt;0,3,IF(IFERROR(FIND("C级",$H115),0)&gt;0,5,IF(IFERROR(FIND("D级",$H115),0)&gt;0,8,1)))),"")</f>
        <v/>
      </c>
      <c r="K115" s="19" t="str">
        <f t="shared" si="6"/>
        <v/>
      </c>
      <c r="L115" s="129" t="str">
        <f t="shared" si="7"/>
        <v/>
      </c>
      <c r="M115" s="129"/>
      <c r="N115" s="129"/>
      <c r="O115" s="137" t="e">
        <f>VLOOKUP($G115,工作量标准!$C:$E,3,0)</f>
        <v>#N/A</v>
      </c>
    </row>
    <row r="116" customHeight="1" spans="1:15">
      <c r="A116" s="146">
        <v>80</v>
      </c>
      <c r="B116" s="147"/>
      <c r="C116" s="147"/>
      <c r="D116" s="147"/>
      <c r="E116" s="129"/>
      <c r="F116" s="129"/>
      <c r="G116" s="129"/>
      <c r="H116" s="129"/>
      <c r="I116" s="129"/>
      <c r="J116" s="129" t="str">
        <f>IFERROR(VLOOKUP($G116,工作量标准!$C:$D,2,0)*IF(IFERROR(FIND("A级",$H116),0)&gt;0,1,IF(IFERROR(FIND("B级",$H116),0)&gt;0,3,IF(IFERROR(FIND("C级",$H116),0)&gt;0,5,IF(IFERROR(FIND("D级",$H116),0)&gt;0,8,1)))),"")</f>
        <v/>
      </c>
      <c r="K116" s="19" t="str">
        <f t="shared" si="6"/>
        <v/>
      </c>
      <c r="L116" s="129" t="str">
        <f t="shared" si="7"/>
        <v/>
      </c>
      <c r="M116" s="129"/>
      <c r="N116" s="129"/>
      <c r="O116" s="137" t="e">
        <f>VLOOKUP($G116,工作量标准!$C:$E,3,0)</f>
        <v>#N/A</v>
      </c>
    </row>
    <row r="117" customHeight="1" spans="1:15">
      <c r="A117" s="146">
        <v>81</v>
      </c>
      <c r="B117" s="147"/>
      <c r="C117" s="147"/>
      <c r="D117" s="147"/>
      <c r="E117" s="129"/>
      <c r="F117" s="129"/>
      <c r="G117" s="129"/>
      <c r="H117" s="129"/>
      <c r="I117" s="129"/>
      <c r="J117" s="129" t="str">
        <f>IFERROR(VLOOKUP($G117,工作量标准!$C:$D,2,0)*IF(IFERROR(FIND("A级",$H117),0)&gt;0,1,IF(IFERROR(FIND("B级",$H117),0)&gt;0,3,IF(IFERROR(FIND("C级",$H117),0)&gt;0,5,IF(IFERROR(FIND("D级",$H117),0)&gt;0,8,1)))),"")</f>
        <v/>
      </c>
      <c r="K117" s="19" t="str">
        <f t="shared" si="6"/>
        <v/>
      </c>
      <c r="L117" s="129" t="str">
        <f t="shared" si="7"/>
        <v/>
      </c>
      <c r="M117" s="129"/>
      <c r="N117" s="129"/>
      <c r="O117" s="137" t="e">
        <f>VLOOKUP($G117,工作量标准!$C:$E,3,0)</f>
        <v>#N/A</v>
      </c>
    </row>
    <row r="118" customHeight="1" spans="1:15">
      <c r="A118" s="146">
        <v>82</v>
      </c>
      <c r="B118" s="147"/>
      <c r="C118" s="147"/>
      <c r="D118" s="147"/>
      <c r="E118" s="129"/>
      <c r="F118" s="129"/>
      <c r="G118" s="129"/>
      <c r="H118" s="129"/>
      <c r="I118" s="129"/>
      <c r="J118" s="129" t="str">
        <f>IFERROR(VLOOKUP($G118,工作量标准!$C:$D,2,0)*IF(IFERROR(FIND("A级",$H118),0)&gt;0,1,IF(IFERROR(FIND("B级",$H118),0)&gt;0,3,IF(IFERROR(FIND("C级",$H118),0)&gt;0,5,IF(IFERROR(FIND("D级",$H118),0)&gt;0,8,1)))),"")</f>
        <v/>
      </c>
      <c r="K118" s="19" t="str">
        <f t="shared" si="6"/>
        <v/>
      </c>
      <c r="L118" s="129" t="str">
        <f t="shared" si="7"/>
        <v/>
      </c>
      <c r="M118" s="129"/>
      <c r="N118" s="129"/>
      <c r="O118" s="137" t="e">
        <f>VLOOKUP($G118,工作量标准!$C:$E,3,0)</f>
        <v>#N/A</v>
      </c>
    </row>
    <row r="119" customHeight="1" spans="1:15">
      <c r="A119" s="146">
        <v>83</v>
      </c>
      <c r="B119" s="147"/>
      <c r="C119" s="147"/>
      <c r="D119" s="147"/>
      <c r="E119" s="129"/>
      <c r="F119" s="129"/>
      <c r="G119" s="129"/>
      <c r="H119" s="129"/>
      <c r="I119" s="129"/>
      <c r="J119" s="129" t="str">
        <f>IFERROR(VLOOKUP($G119,工作量标准!$C:$D,2,0)*IF(IFERROR(FIND("A级",$H119),0)&gt;0,1,IF(IFERROR(FIND("B级",$H119),0)&gt;0,3,IF(IFERROR(FIND("C级",$H119),0)&gt;0,5,IF(IFERROR(FIND("D级",$H119),0)&gt;0,8,1)))),"")</f>
        <v/>
      </c>
      <c r="K119" s="19" t="str">
        <f t="shared" si="6"/>
        <v/>
      </c>
      <c r="L119" s="129" t="str">
        <f t="shared" si="7"/>
        <v/>
      </c>
      <c r="M119" s="129"/>
      <c r="N119" s="129"/>
      <c r="O119" s="137" t="e">
        <f>VLOOKUP($G119,工作量标准!$C:$E,3,0)</f>
        <v>#N/A</v>
      </c>
    </row>
    <row r="120" customHeight="1" spans="1:15">
      <c r="A120" s="146">
        <v>84</v>
      </c>
      <c r="B120" s="147"/>
      <c r="C120" s="147"/>
      <c r="D120" s="147"/>
      <c r="E120" s="129"/>
      <c r="F120" s="129"/>
      <c r="G120" s="129"/>
      <c r="H120" s="129"/>
      <c r="I120" s="129"/>
      <c r="J120" s="129" t="str">
        <f>IFERROR(VLOOKUP($G120,工作量标准!$C:$D,2,0)*IF(IFERROR(FIND("A级",$H120),0)&gt;0,1,IF(IFERROR(FIND("B级",$H120),0)&gt;0,3,IF(IFERROR(FIND("C级",$H120),0)&gt;0,5,IF(IFERROR(FIND("D级",$H120),0)&gt;0,8,1)))),"")</f>
        <v/>
      </c>
      <c r="K120" s="19" t="str">
        <f t="shared" si="6"/>
        <v/>
      </c>
      <c r="L120" s="129" t="str">
        <f t="shared" si="7"/>
        <v/>
      </c>
      <c r="M120" s="129"/>
      <c r="N120" s="129"/>
      <c r="O120" s="137" t="e">
        <f>VLOOKUP($G120,工作量标准!$C:$E,3,0)</f>
        <v>#N/A</v>
      </c>
    </row>
    <row r="121" customHeight="1" spans="1:15">
      <c r="A121" s="146">
        <v>85</v>
      </c>
      <c r="B121" s="147"/>
      <c r="C121" s="147"/>
      <c r="D121" s="147"/>
      <c r="E121" s="129"/>
      <c r="F121" s="129"/>
      <c r="G121" s="129"/>
      <c r="H121" s="129"/>
      <c r="I121" s="129"/>
      <c r="J121" s="129" t="str">
        <f>IFERROR(VLOOKUP($G121,工作量标准!$C:$D,2,0)*IF(IFERROR(FIND("A级",$H121),0)&gt;0,1,IF(IFERROR(FIND("B级",$H121),0)&gt;0,3,IF(IFERROR(FIND("C级",$H121),0)&gt;0,5,IF(IFERROR(FIND("D级",$H121),0)&gt;0,8,1)))),"")</f>
        <v/>
      </c>
      <c r="K121" s="19" t="str">
        <f t="shared" si="6"/>
        <v/>
      </c>
      <c r="L121" s="129" t="str">
        <f t="shared" si="7"/>
        <v/>
      </c>
      <c r="M121" s="129"/>
      <c r="N121" s="129"/>
      <c r="O121" s="137" t="e">
        <f>VLOOKUP($G121,工作量标准!$C:$E,3,0)</f>
        <v>#N/A</v>
      </c>
    </row>
    <row r="122" customHeight="1" spans="1:15">
      <c r="A122" s="146">
        <v>86</v>
      </c>
      <c r="B122" s="147"/>
      <c r="C122" s="147"/>
      <c r="D122" s="147"/>
      <c r="E122" s="129"/>
      <c r="F122" s="129"/>
      <c r="G122" s="129"/>
      <c r="H122" s="129"/>
      <c r="I122" s="129"/>
      <c r="J122" s="129" t="str">
        <f>IFERROR(VLOOKUP($G122,工作量标准!$C:$D,2,0)*IF(IFERROR(FIND("A级",$H122),0)&gt;0,1,IF(IFERROR(FIND("B级",$H122),0)&gt;0,3,IF(IFERROR(FIND("C级",$H122),0)&gt;0,5,IF(IFERROR(FIND("D级",$H122),0)&gt;0,8,1)))),"")</f>
        <v/>
      </c>
      <c r="K122" s="19" t="str">
        <f t="shared" si="6"/>
        <v/>
      </c>
      <c r="L122" s="129" t="str">
        <f t="shared" si="7"/>
        <v/>
      </c>
      <c r="M122" s="129"/>
      <c r="N122" s="129"/>
      <c r="O122" s="137" t="e">
        <f>VLOOKUP($G122,工作量标准!$C:$E,3,0)</f>
        <v>#N/A</v>
      </c>
    </row>
    <row r="123" customHeight="1" spans="1:15">
      <c r="A123" s="146">
        <v>87</v>
      </c>
      <c r="B123" s="147"/>
      <c r="C123" s="147"/>
      <c r="D123" s="147"/>
      <c r="E123" s="129"/>
      <c r="F123" s="129"/>
      <c r="G123" s="129"/>
      <c r="H123" s="129"/>
      <c r="I123" s="129"/>
      <c r="J123" s="129" t="str">
        <f>IFERROR(VLOOKUP($G123,工作量标准!$C:$D,2,0)*IF(IFERROR(FIND("A级",$H123),0)&gt;0,1,IF(IFERROR(FIND("B级",$H123),0)&gt;0,3,IF(IFERROR(FIND("C级",$H123),0)&gt;0,5,IF(IFERROR(FIND("D级",$H123),0)&gt;0,8,1)))),"")</f>
        <v/>
      </c>
      <c r="K123" s="19" t="str">
        <f t="shared" si="6"/>
        <v/>
      </c>
      <c r="L123" s="129" t="str">
        <f t="shared" si="7"/>
        <v/>
      </c>
      <c r="M123" s="129"/>
      <c r="N123" s="129"/>
      <c r="O123" s="137" t="e">
        <f>VLOOKUP($G123,工作量标准!$C:$E,3,0)</f>
        <v>#N/A</v>
      </c>
    </row>
    <row r="124" customHeight="1" spans="1:15">
      <c r="A124" s="146">
        <v>88</v>
      </c>
      <c r="B124" s="147"/>
      <c r="C124" s="147"/>
      <c r="D124" s="147"/>
      <c r="E124" s="129"/>
      <c r="F124" s="129"/>
      <c r="G124" s="129"/>
      <c r="H124" s="129"/>
      <c r="I124" s="129"/>
      <c r="J124" s="129" t="str">
        <f>IFERROR(VLOOKUP($G124,工作量标准!$C:$D,2,0)*IF(IFERROR(FIND("A级",$H124),0)&gt;0,1,IF(IFERROR(FIND("B级",$H124),0)&gt;0,3,IF(IFERROR(FIND("C级",$H124),0)&gt;0,5,IF(IFERROR(FIND("D级",$H124),0)&gt;0,8,1)))),"")</f>
        <v/>
      </c>
      <c r="K124" s="19" t="str">
        <f t="shared" si="6"/>
        <v/>
      </c>
      <c r="L124" s="129" t="str">
        <f t="shared" si="7"/>
        <v/>
      </c>
      <c r="M124" s="129"/>
      <c r="N124" s="129"/>
      <c r="O124" s="137" t="e">
        <f>VLOOKUP($G124,工作量标准!$C:$E,3,0)</f>
        <v>#N/A</v>
      </c>
    </row>
    <row r="125" customHeight="1" spans="1:15">
      <c r="A125" s="146">
        <v>89</v>
      </c>
      <c r="B125" s="147"/>
      <c r="C125" s="147"/>
      <c r="D125" s="147"/>
      <c r="E125" s="129"/>
      <c r="F125" s="129"/>
      <c r="G125" s="129"/>
      <c r="H125" s="129"/>
      <c r="I125" s="129"/>
      <c r="J125" s="129" t="str">
        <f>IFERROR(VLOOKUP($G125,工作量标准!$C:$D,2,0)*IF(IFERROR(FIND("A级",$H125),0)&gt;0,1,IF(IFERROR(FIND("B级",$H125),0)&gt;0,3,IF(IFERROR(FIND("C级",$H125),0)&gt;0,5,IF(IFERROR(FIND("D级",$H125),0)&gt;0,8,1)))),"")</f>
        <v/>
      </c>
      <c r="K125" s="19" t="str">
        <f t="shared" si="6"/>
        <v/>
      </c>
      <c r="L125" s="129" t="str">
        <f t="shared" si="7"/>
        <v/>
      </c>
      <c r="M125" s="129"/>
      <c r="N125" s="129"/>
      <c r="O125" s="137" t="e">
        <f>VLOOKUP($G125,工作量标准!$C:$E,3,0)</f>
        <v>#N/A</v>
      </c>
    </row>
    <row r="126" customHeight="1" spans="1:15">
      <c r="A126" s="146">
        <v>90</v>
      </c>
      <c r="B126" s="147"/>
      <c r="C126" s="147"/>
      <c r="D126" s="147"/>
      <c r="E126" s="129"/>
      <c r="F126" s="129"/>
      <c r="G126" s="129"/>
      <c r="H126" s="129"/>
      <c r="I126" s="129"/>
      <c r="J126" s="129" t="str">
        <f>IFERROR(VLOOKUP($G126,工作量标准!$C:$D,2,0)*IF(IFERROR(FIND("A级",$H126),0)&gt;0,1,IF(IFERROR(FIND("B级",$H126),0)&gt;0,3,IF(IFERROR(FIND("C级",$H126),0)&gt;0,5,IF(IFERROR(FIND("D级",$H126),0)&gt;0,8,1)))),"")</f>
        <v/>
      </c>
      <c r="K126" s="19" t="str">
        <f t="shared" si="6"/>
        <v/>
      </c>
      <c r="L126" s="129" t="str">
        <f t="shared" si="7"/>
        <v/>
      </c>
      <c r="M126" s="129"/>
      <c r="N126" s="129"/>
      <c r="O126" s="137" t="e">
        <f>VLOOKUP($G126,工作量标准!$C:$E,3,0)</f>
        <v>#N/A</v>
      </c>
    </row>
    <row r="127" customHeight="1" spans="1:15">
      <c r="A127" s="146">
        <v>91</v>
      </c>
      <c r="B127" s="147"/>
      <c r="C127" s="147"/>
      <c r="D127" s="147"/>
      <c r="E127" s="129"/>
      <c r="F127" s="129"/>
      <c r="G127" s="129"/>
      <c r="H127" s="129"/>
      <c r="I127" s="129"/>
      <c r="J127" s="129" t="str">
        <f>IFERROR(VLOOKUP($G127,工作量标准!$C:$D,2,0)*IF(IFERROR(FIND("A级",$H127),0)&gt;0,1,IF(IFERROR(FIND("B级",$H127),0)&gt;0,3,IF(IFERROR(FIND("C级",$H127),0)&gt;0,5,IF(IFERROR(FIND("D级",$H127),0)&gt;0,8,1)))),"")</f>
        <v/>
      </c>
      <c r="K127" s="19" t="str">
        <f t="shared" si="6"/>
        <v/>
      </c>
      <c r="L127" s="129" t="str">
        <f t="shared" si="7"/>
        <v/>
      </c>
      <c r="M127" s="129"/>
      <c r="N127" s="129"/>
      <c r="O127" s="137" t="e">
        <f>VLOOKUP($G127,工作量标准!$C:$E,3,0)</f>
        <v>#N/A</v>
      </c>
    </row>
    <row r="128" customHeight="1" spans="1:15">
      <c r="A128" s="146">
        <v>92</v>
      </c>
      <c r="B128" s="147"/>
      <c r="C128" s="147"/>
      <c r="D128" s="147"/>
      <c r="E128" s="129"/>
      <c r="F128" s="129"/>
      <c r="G128" s="129"/>
      <c r="H128" s="129"/>
      <c r="I128" s="129"/>
      <c r="J128" s="129" t="str">
        <f>IFERROR(VLOOKUP($G128,工作量标准!$C:$D,2,0)*IF(IFERROR(FIND("A级",$H128),0)&gt;0,1,IF(IFERROR(FIND("B级",$H128),0)&gt;0,3,IF(IFERROR(FIND("C级",$H128),0)&gt;0,5,IF(IFERROR(FIND("D级",$H128),0)&gt;0,8,1)))),"")</f>
        <v/>
      </c>
      <c r="K128" s="19" t="str">
        <f t="shared" si="6"/>
        <v/>
      </c>
      <c r="L128" s="129" t="str">
        <f t="shared" si="7"/>
        <v/>
      </c>
      <c r="M128" s="129"/>
      <c r="N128" s="129"/>
      <c r="O128" s="137" t="e">
        <f>VLOOKUP($G128,工作量标准!$C:$E,3,0)</f>
        <v>#N/A</v>
      </c>
    </row>
    <row r="129" customHeight="1" spans="1:15">
      <c r="A129" s="146">
        <v>93</v>
      </c>
      <c r="B129" s="147"/>
      <c r="C129" s="147"/>
      <c r="D129" s="147"/>
      <c r="E129" s="129"/>
      <c r="F129" s="129"/>
      <c r="G129" s="129"/>
      <c r="H129" s="129"/>
      <c r="I129" s="129"/>
      <c r="J129" s="129" t="str">
        <f>IFERROR(VLOOKUP($G129,工作量标准!$C:$D,2,0)*IF(IFERROR(FIND("A级",$H129),0)&gt;0,1,IF(IFERROR(FIND("B级",$H129),0)&gt;0,3,IF(IFERROR(FIND("C级",$H129),0)&gt;0,5,IF(IFERROR(FIND("D级",$H129),0)&gt;0,8,1)))),"")</f>
        <v/>
      </c>
      <c r="K129" s="19" t="str">
        <f t="shared" si="6"/>
        <v/>
      </c>
      <c r="L129" s="129" t="str">
        <f t="shared" si="7"/>
        <v/>
      </c>
      <c r="M129" s="129"/>
      <c r="N129" s="129"/>
      <c r="O129" s="137" t="e">
        <f>VLOOKUP($G129,工作量标准!$C:$E,3,0)</f>
        <v>#N/A</v>
      </c>
    </row>
    <row r="130" customHeight="1" spans="1:15">
      <c r="A130" s="146">
        <v>94</v>
      </c>
      <c r="B130" s="147"/>
      <c r="C130" s="147"/>
      <c r="D130" s="147"/>
      <c r="E130" s="129"/>
      <c r="F130" s="129"/>
      <c r="G130" s="129"/>
      <c r="H130" s="129"/>
      <c r="I130" s="129"/>
      <c r="J130" s="129" t="str">
        <f>IFERROR(VLOOKUP($G130,工作量标准!$C:$D,2,0)*IF(IFERROR(FIND("A级",$H130),0)&gt;0,1,IF(IFERROR(FIND("B级",$H130),0)&gt;0,3,IF(IFERROR(FIND("C级",$H130),0)&gt;0,5,IF(IFERROR(FIND("D级",$H130),0)&gt;0,8,1)))),"")</f>
        <v/>
      </c>
      <c r="K130" s="19" t="str">
        <f t="shared" si="6"/>
        <v/>
      </c>
      <c r="L130" s="129" t="str">
        <f t="shared" si="7"/>
        <v/>
      </c>
      <c r="M130" s="129"/>
      <c r="N130" s="129"/>
      <c r="O130" s="137" t="e">
        <f>VLOOKUP($G130,工作量标准!$C:$E,3,0)</f>
        <v>#N/A</v>
      </c>
    </row>
    <row r="131" customHeight="1" spans="1:15">
      <c r="A131" s="146">
        <v>95</v>
      </c>
      <c r="B131" s="147"/>
      <c r="C131" s="147"/>
      <c r="D131" s="147"/>
      <c r="E131" s="129"/>
      <c r="F131" s="129"/>
      <c r="G131" s="129"/>
      <c r="H131" s="129"/>
      <c r="I131" s="129"/>
      <c r="J131" s="129" t="str">
        <f>IFERROR(VLOOKUP($G131,工作量标准!$C:$D,2,0)*IF(IFERROR(FIND("A级",$H131),0)&gt;0,1,IF(IFERROR(FIND("B级",$H131),0)&gt;0,3,IF(IFERROR(FIND("C级",$H131),0)&gt;0,5,IF(IFERROR(FIND("D级",$H131),0)&gt;0,8,1)))),"")</f>
        <v/>
      </c>
      <c r="K131" s="19" t="str">
        <f t="shared" si="6"/>
        <v/>
      </c>
      <c r="L131" s="129" t="str">
        <f t="shared" si="7"/>
        <v/>
      </c>
      <c r="M131" s="129"/>
      <c r="N131" s="129"/>
      <c r="O131" s="137" t="e">
        <f>VLOOKUP($G131,工作量标准!$C:$E,3,0)</f>
        <v>#N/A</v>
      </c>
    </row>
    <row r="132" customHeight="1" spans="1:15">
      <c r="A132" s="146">
        <v>96</v>
      </c>
      <c r="B132" s="147"/>
      <c r="C132" s="147"/>
      <c r="D132" s="147"/>
      <c r="E132" s="129"/>
      <c r="F132" s="129"/>
      <c r="G132" s="129"/>
      <c r="H132" s="129"/>
      <c r="I132" s="129"/>
      <c r="J132" s="129" t="str">
        <f>IFERROR(VLOOKUP($G132,工作量标准!$C:$D,2,0)*IF(IFERROR(FIND("A级",$H132),0)&gt;0,1,IF(IFERROR(FIND("B级",$H132),0)&gt;0,3,IF(IFERROR(FIND("C级",$H132),0)&gt;0,5,IF(IFERROR(FIND("D级",$H132),0)&gt;0,8,1)))),"")</f>
        <v/>
      </c>
      <c r="K132" s="19" t="str">
        <f t="shared" si="6"/>
        <v/>
      </c>
      <c r="L132" s="129" t="str">
        <f t="shared" si="7"/>
        <v/>
      </c>
      <c r="M132" s="129"/>
      <c r="N132" s="129"/>
      <c r="O132" s="137" t="e">
        <f>VLOOKUP($G132,工作量标准!$C:$E,3,0)</f>
        <v>#N/A</v>
      </c>
    </row>
    <row r="133" customHeight="1" spans="1:15">
      <c r="A133" s="146">
        <v>97</v>
      </c>
      <c r="B133" s="147"/>
      <c r="C133" s="147"/>
      <c r="D133" s="147"/>
      <c r="E133" s="129"/>
      <c r="F133" s="129"/>
      <c r="G133" s="129"/>
      <c r="H133" s="129"/>
      <c r="I133" s="129"/>
      <c r="J133" s="129" t="str">
        <f>IFERROR(VLOOKUP($G133,工作量标准!$C:$D,2,0)*IF(IFERROR(FIND("A级",$H133),0)&gt;0,1,IF(IFERROR(FIND("B级",$H133),0)&gt;0,3,IF(IFERROR(FIND("C级",$H133),0)&gt;0,5,IF(IFERROR(FIND("D级",$H133),0)&gt;0,8,1)))),"")</f>
        <v/>
      </c>
      <c r="K133" s="19" t="str">
        <f t="shared" si="6"/>
        <v/>
      </c>
      <c r="L133" s="129" t="str">
        <f t="shared" si="7"/>
        <v/>
      </c>
      <c r="M133" s="129"/>
      <c r="N133" s="129"/>
      <c r="O133" s="137" t="e">
        <f>VLOOKUP($G133,工作量标准!$C:$E,3,0)</f>
        <v>#N/A</v>
      </c>
    </row>
    <row r="134" customHeight="1" spans="1:15">
      <c r="A134" s="146">
        <v>98</v>
      </c>
      <c r="B134" s="147"/>
      <c r="C134" s="147"/>
      <c r="D134" s="147"/>
      <c r="E134" s="129"/>
      <c r="F134" s="129"/>
      <c r="G134" s="129"/>
      <c r="H134" s="129"/>
      <c r="I134" s="129"/>
      <c r="J134" s="129" t="str">
        <f>IFERROR(VLOOKUP($G134,工作量标准!$C:$D,2,0)*IF(IFERROR(FIND("A级",$H134),0)&gt;0,1,IF(IFERROR(FIND("B级",$H134),0)&gt;0,3,IF(IFERROR(FIND("C级",$H134),0)&gt;0,5,IF(IFERROR(FIND("D级",$H134),0)&gt;0,8,1)))),"")</f>
        <v/>
      </c>
      <c r="K134" s="19" t="str">
        <f t="shared" si="6"/>
        <v/>
      </c>
      <c r="L134" s="129" t="str">
        <f t="shared" si="7"/>
        <v/>
      </c>
      <c r="M134" s="129"/>
      <c r="N134" s="129"/>
      <c r="O134" s="137" t="e">
        <f>VLOOKUP($G134,工作量标准!$C:$E,3,0)</f>
        <v>#N/A</v>
      </c>
    </row>
    <row r="135" customHeight="1" spans="1:15">
      <c r="A135" s="146">
        <v>99</v>
      </c>
      <c r="B135" s="147"/>
      <c r="C135" s="147"/>
      <c r="D135" s="147"/>
      <c r="E135" s="129"/>
      <c r="F135" s="129"/>
      <c r="G135" s="129"/>
      <c r="H135" s="129"/>
      <c r="I135" s="129"/>
      <c r="J135" s="129" t="str">
        <f>IFERROR(VLOOKUP($G135,工作量标准!$C:$D,2,0)*IF(IFERROR(FIND("A级",$H135),0)&gt;0,1,IF(IFERROR(FIND("B级",$H135),0)&gt;0,3,IF(IFERROR(FIND("C级",$H135),0)&gt;0,5,IF(IFERROR(FIND("D级",$H135),0)&gt;0,8,1)))),"")</f>
        <v/>
      </c>
      <c r="K135" s="19" t="str">
        <f t="shared" si="6"/>
        <v/>
      </c>
      <c r="L135" s="129" t="str">
        <f t="shared" si="7"/>
        <v/>
      </c>
      <c r="M135" s="129"/>
      <c r="N135" s="129"/>
      <c r="O135" s="137" t="e">
        <f>VLOOKUP($G135,工作量标准!$C:$E,3,0)</f>
        <v>#N/A</v>
      </c>
    </row>
    <row r="136" customHeight="1" spans="1:15">
      <c r="A136" s="146">
        <v>100</v>
      </c>
      <c r="B136" s="147"/>
      <c r="C136" s="147"/>
      <c r="D136" s="147"/>
      <c r="E136" s="129"/>
      <c r="F136" s="129"/>
      <c r="G136" s="129"/>
      <c r="H136" s="129"/>
      <c r="I136" s="129"/>
      <c r="J136" s="129" t="str">
        <f>IFERROR(VLOOKUP($G136,工作量标准!$C:$D,2,0)*IF(IFERROR(FIND("A级",$H136),0)&gt;0,1,IF(IFERROR(FIND("B级",$H136),0)&gt;0,3,IF(IFERROR(FIND("C级",$H136),0)&gt;0,5,IF(IFERROR(FIND("D级",$H136),0)&gt;0,8,1)))),"")</f>
        <v/>
      </c>
      <c r="K136" s="19" t="str">
        <f t="shared" si="6"/>
        <v/>
      </c>
      <c r="L136" s="129" t="str">
        <f t="shared" si="7"/>
        <v/>
      </c>
      <c r="M136" s="129"/>
      <c r="N136" s="129"/>
      <c r="O136" s="137" t="e">
        <f>VLOOKUP($G136,工作量标准!$C:$E,3,0)</f>
        <v>#N/A</v>
      </c>
    </row>
    <row r="137" customHeight="1" spans="1:15">
      <c r="A137" s="146">
        <v>101</v>
      </c>
      <c r="B137" s="147"/>
      <c r="C137" s="147"/>
      <c r="D137" s="147"/>
      <c r="E137" s="129"/>
      <c r="F137" s="129"/>
      <c r="G137" s="129"/>
      <c r="H137" s="129"/>
      <c r="I137" s="129"/>
      <c r="J137" s="129" t="str">
        <f>IFERROR(VLOOKUP($G137,工作量标准!$C:$D,2,0)*IF(IFERROR(FIND("A级",$H137),0)&gt;0,1,IF(IFERROR(FIND("B级",$H137),0)&gt;0,3,IF(IFERROR(FIND("C级",$H137),0)&gt;0,5,IF(IFERROR(FIND("D级",$H137),0)&gt;0,8,1)))),"")</f>
        <v/>
      </c>
      <c r="K137" s="19" t="str">
        <f t="shared" si="6"/>
        <v/>
      </c>
      <c r="L137" s="129" t="str">
        <f t="shared" si="7"/>
        <v/>
      </c>
      <c r="M137" s="129"/>
      <c r="N137" s="129"/>
      <c r="O137" s="137" t="e">
        <f>VLOOKUP($G137,工作量标准!$C:$E,3,0)</f>
        <v>#N/A</v>
      </c>
    </row>
    <row r="138" customHeight="1" spans="1:15">
      <c r="A138" s="146">
        <v>102</v>
      </c>
      <c r="B138" s="147"/>
      <c r="C138" s="147"/>
      <c r="D138" s="147"/>
      <c r="E138" s="129"/>
      <c r="F138" s="129"/>
      <c r="G138" s="129"/>
      <c r="H138" s="129"/>
      <c r="I138" s="129"/>
      <c r="J138" s="129" t="str">
        <f>IFERROR(VLOOKUP($G138,工作量标准!$C:$D,2,0)*IF(IFERROR(FIND("A级",$H138),0)&gt;0,1,IF(IFERROR(FIND("B级",$H138),0)&gt;0,3,IF(IFERROR(FIND("C级",$H138),0)&gt;0,5,IF(IFERROR(FIND("D级",$H138),0)&gt;0,8,1)))),"")</f>
        <v/>
      </c>
      <c r="K138" s="19" t="str">
        <f t="shared" si="6"/>
        <v/>
      </c>
      <c r="L138" s="129" t="str">
        <f t="shared" si="7"/>
        <v/>
      </c>
      <c r="M138" s="129"/>
      <c r="N138" s="129"/>
      <c r="O138" s="137" t="e">
        <f>VLOOKUP($G138,工作量标准!$C:$E,3,0)</f>
        <v>#N/A</v>
      </c>
    </row>
    <row r="139" customHeight="1" spans="1:15">
      <c r="A139" s="146">
        <v>103</v>
      </c>
      <c r="B139" s="147"/>
      <c r="C139" s="147"/>
      <c r="D139" s="147"/>
      <c r="E139" s="129"/>
      <c r="F139" s="129"/>
      <c r="G139" s="129"/>
      <c r="H139" s="129"/>
      <c r="I139" s="129"/>
      <c r="J139" s="129" t="str">
        <f>IFERROR(VLOOKUP($G139,工作量标准!$C:$D,2,0)*IF(IFERROR(FIND("A级",$H139),0)&gt;0,1,IF(IFERROR(FIND("B级",$H139),0)&gt;0,3,IF(IFERROR(FIND("C级",$H139),0)&gt;0,5,IF(IFERROR(FIND("D级",$H139),0)&gt;0,8,1)))),"")</f>
        <v/>
      </c>
      <c r="K139" s="19" t="str">
        <f t="shared" si="6"/>
        <v/>
      </c>
      <c r="L139" s="129" t="str">
        <f t="shared" si="7"/>
        <v/>
      </c>
      <c r="M139" s="129"/>
      <c r="N139" s="129"/>
      <c r="O139" s="137" t="e">
        <f>VLOOKUP($G139,工作量标准!$C:$E,3,0)</f>
        <v>#N/A</v>
      </c>
    </row>
    <row r="140" customHeight="1" spans="1:15">
      <c r="A140" s="146">
        <v>104</v>
      </c>
      <c r="B140" s="147"/>
      <c r="C140" s="147"/>
      <c r="D140" s="147"/>
      <c r="E140" s="129"/>
      <c r="F140" s="129"/>
      <c r="G140" s="129"/>
      <c r="H140" s="129"/>
      <c r="I140" s="129"/>
      <c r="J140" s="129" t="str">
        <f>IFERROR(VLOOKUP($G140,工作量标准!$C:$D,2,0)*IF(IFERROR(FIND("A级",$H140),0)&gt;0,1,IF(IFERROR(FIND("B级",$H140),0)&gt;0,3,IF(IFERROR(FIND("C级",$H140),0)&gt;0,5,IF(IFERROR(FIND("D级",$H140),0)&gt;0,8,1)))),"")</f>
        <v/>
      </c>
      <c r="K140" s="19" t="str">
        <f t="shared" si="6"/>
        <v/>
      </c>
      <c r="L140" s="129" t="str">
        <f t="shared" si="7"/>
        <v/>
      </c>
      <c r="M140" s="129"/>
      <c r="N140" s="129"/>
      <c r="O140" s="137" t="e">
        <f>VLOOKUP($G140,工作量标准!$C:$E,3,0)</f>
        <v>#N/A</v>
      </c>
    </row>
    <row r="141" customHeight="1" spans="1:15">
      <c r="A141" s="146">
        <v>105</v>
      </c>
      <c r="B141" s="147"/>
      <c r="C141" s="147"/>
      <c r="D141" s="147"/>
      <c r="E141" s="129"/>
      <c r="F141" s="129"/>
      <c r="G141" s="129"/>
      <c r="H141" s="129"/>
      <c r="I141" s="129"/>
      <c r="J141" s="129" t="str">
        <f>IFERROR(VLOOKUP($G141,工作量标准!$C:$D,2,0)*IF(IFERROR(FIND("A级",$H141),0)&gt;0,1,IF(IFERROR(FIND("B级",$H141),0)&gt;0,3,IF(IFERROR(FIND("C级",$H141),0)&gt;0,5,IF(IFERROR(FIND("D级",$H141),0)&gt;0,8,1)))),"")</f>
        <v/>
      </c>
      <c r="K141" s="19" t="str">
        <f t="shared" si="6"/>
        <v/>
      </c>
      <c r="L141" s="129" t="str">
        <f t="shared" si="7"/>
        <v/>
      </c>
      <c r="M141" s="129"/>
      <c r="N141" s="129"/>
      <c r="O141" s="137" t="e">
        <f>VLOOKUP($G141,工作量标准!$C:$E,3,0)</f>
        <v>#N/A</v>
      </c>
    </row>
    <row r="142" customHeight="1" spans="1:15">
      <c r="A142" s="146">
        <v>106</v>
      </c>
      <c r="B142" s="147"/>
      <c r="C142" s="147"/>
      <c r="D142" s="147"/>
      <c r="E142" s="129"/>
      <c r="F142" s="129"/>
      <c r="G142" s="129"/>
      <c r="H142" s="129"/>
      <c r="I142" s="129"/>
      <c r="J142" s="129" t="str">
        <f>IFERROR(VLOOKUP($G142,工作量标准!$C:$D,2,0)*IF(IFERROR(FIND("A级",$H142),0)&gt;0,1,IF(IFERROR(FIND("B级",$H142),0)&gt;0,3,IF(IFERROR(FIND("C级",$H142),0)&gt;0,5,IF(IFERROR(FIND("D级",$H142),0)&gt;0,8,1)))),"")</f>
        <v/>
      </c>
      <c r="K142" s="19" t="str">
        <f t="shared" si="6"/>
        <v/>
      </c>
      <c r="L142" s="129" t="str">
        <f t="shared" si="7"/>
        <v/>
      </c>
      <c r="M142" s="129"/>
      <c r="N142" s="129"/>
      <c r="O142" s="137" t="e">
        <f>VLOOKUP($G142,工作量标准!$C:$E,3,0)</f>
        <v>#N/A</v>
      </c>
    </row>
    <row r="143" customHeight="1" spans="1:15">
      <c r="A143" s="146">
        <v>107</v>
      </c>
      <c r="B143" s="147"/>
      <c r="C143" s="147"/>
      <c r="D143" s="147"/>
      <c r="E143" s="129"/>
      <c r="F143" s="129"/>
      <c r="G143" s="129"/>
      <c r="H143" s="129"/>
      <c r="I143" s="129"/>
      <c r="J143" s="129" t="str">
        <f>IFERROR(VLOOKUP($G143,工作量标准!$C:$D,2,0)*IF(IFERROR(FIND("A级",$H143),0)&gt;0,1,IF(IFERROR(FIND("B级",$H143),0)&gt;0,3,IF(IFERROR(FIND("C级",$H143),0)&gt;0,5,IF(IFERROR(FIND("D级",$H143),0)&gt;0,8,1)))),"")</f>
        <v/>
      </c>
      <c r="K143" s="19" t="str">
        <f t="shared" si="6"/>
        <v/>
      </c>
      <c r="L143" s="129" t="str">
        <f t="shared" si="7"/>
        <v/>
      </c>
      <c r="M143" s="129"/>
      <c r="N143" s="129"/>
      <c r="O143" s="137" t="e">
        <f>VLOOKUP($G143,工作量标准!$C:$E,3,0)</f>
        <v>#N/A</v>
      </c>
    </row>
    <row r="144" customHeight="1" spans="1:15">
      <c r="A144" s="146">
        <v>108</v>
      </c>
      <c r="B144" s="147"/>
      <c r="C144" s="147"/>
      <c r="D144" s="147"/>
      <c r="E144" s="129"/>
      <c r="F144" s="129"/>
      <c r="G144" s="129"/>
      <c r="H144" s="129"/>
      <c r="I144" s="129"/>
      <c r="J144" s="129" t="str">
        <f>IFERROR(VLOOKUP($G144,工作量标准!$C:$D,2,0)*IF(IFERROR(FIND("A级",$H144),0)&gt;0,1,IF(IFERROR(FIND("B级",$H144),0)&gt;0,3,IF(IFERROR(FIND("C级",$H144),0)&gt;0,5,IF(IFERROR(FIND("D级",$H144),0)&gt;0,8,1)))),"")</f>
        <v/>
      </c>
      <c r="K144" s="19" t="str">
        <f t="shared" si="6"/>
        <v/>
      </c>
      <c r="L144" s="129" t="str">
        <f t="shared" si="7"/>
        <v/>
      </c>
      <c r="M144" s="129"/>
      <c r="N144" s="129"/>
      <c r="O144" s="137" t="e">
        <f>VLOOKUP($G144,工作量标准!$C:$E,3,0)</f>
        <v>#N/A</v>
      </c>
    </row>
    <row r="145" customHeight="1" spans="1:15">
      <c r="A145" s="146">
        <v>109</v>
      </c>
      <c r="B145" s="147"/>
      <c r="C145" s="147"/>
      <c r="D145" s="147"/>
      <c r="E145" s="129"/>
      <c r="F145" s="129"/>
      <c r="G145" s="129"/>
      <c r="H145" s="129"/>
      <c r="I145" s="129"/>
      <c r="J145" s="129" t="str">
        <f>IFERROR(VLOOKUP($G145,工作量标准!$C:$D,2,0)*IF(IFERROR(FIND("A级",$H145),0)&gt;0,1,IF(IFERROR(FIND("B级",$H145),0)&gt;0,3,IF(IFERROR(FIND("C级",$H145),0)&gt;0,5,IF(IFERROR(FIND("D级",$H145),0)&gt;0,8,1)))),"")</f>
        <v/>
      </c>
      <c r="K145" s="19" t="str">
        <f t="shared" si="6"/>
        <v/>
      </c>
      <c r="L145" s="129" t="str">
        <f t="shared" si="7"/>
        <v/>
      </c>
      <c r="M145" s="129"/>
      <c r="N145" s="129"/>
      <c r="O145" s="137" t="e">
        <f>VLOOKUP($G145,工作量标准!$C:$E,3,0)</f>
        <v>#N/A</v>
      </c>
    </row>
    <row r="146" customHeight="1" spans="1:15">
      <c r="A146" s="146">
        <v>110</v>
      </c>
      <c r="B146" s="147"/>
      <c r="C146" s="147"/>
      <c r="D146" s="147"/>
      <c r="E146" s="129"/>
      <c r="F146" s="129"/>
      <c r="G146" s="129"/>
      <c r="H146" s="129"/>
      <c r="I146" s="129"/>
      <c r="J146" s="129" t="str">
        <f>IFERROR(VLOOKUP($G146,工作量标准!$C:$D,2,0)*IF(IFERROR(FIND("A级",$H146),0)&gt;0,1,IF(IFERROR(FIND("B级",$H146),0)&gt;0,3,IF(IFERROR(FIND("C级",$H146),0)&gt;0,5,IF(IFERROR(FIND("D级",$H146),0)&gt;0,8,1)))),"")</f>
        <v/>
      </c>
      <c r="K146" s="19" t="str">
        <f t="shared" si="6"/>
        <v/>
      </c>
      <c r="L146" s="129" t="str">
        <f t="shared" si="7"/>
        <v/>
      </c>
      <c r="M146" s="129"/>
      <c r="N146" s="129"/>
      <c r="O146" s="137" t="e">
        <f>VLOOKUP($G146,工作量标准!$C:$E,3,0)</f>
        <v>#N/A</v>
      </c>
    </row>
    <row r="147" customHeight="1" spans="1:15">
      <c r="A147" s="146">
        <v>111</v>
      </c>
      <c r="B147" s="147"/>
      <c r="C147" s="147"/>
      <c r="D147" s="147"/>
      <c r="E147" s="129"/>
      <c r="F147" s="129"/>
      <c r="G147" s="129"/>
      <c r="H147" s="129"/>
      <c r="I147" s="129"/>
      <c r="J147" s="129" t="str">
        <f>IFERROR(VLOOKUP($G147,工作量标准!$C:$D,2,0)*IF(IFERROR(FIND("A级",$H147),0)&gt;0,1,IF(IFERROR(FIND("B级",$H147),0)&gt;0,3,IF(IFERROR(FIND("C级",$H147),0)&gt;0,5,IF(IFERROR(FIND("D级",$H147),0)&gt;0,8,1)))),"")</f>
        <v/>
      </c>
      <c r="K147" s="19" t="str">
        <f t="shared" si="6"/>
        <v/>
      </c>
      <c r="L147" s="129" t="str">
        <f t="shared" si="7"/>
        <v/>
      </c>
      <c r="M147" s="129"/>
      <c r="N147" s="129"/>
      <c r="O147" s="137" t="e">
        <f>VLOOKUP($G147,工作量标准!$C:$E,3,0)</f>
        <v>#N/A</v>
      </c>
    </row>
    <row r="148" customHeight="1" spans="1:15">
      <c r="A148" s="146">
        <v>112</v>
      </c>
      <c r="B148" s="147"/>
      <c r="C148" s="147"/>
      <c r="D148" s="147"/>
      <c r="E148" s="129"/>
      <c r="F148" s="129"/>
      <c r="G148" s="129"/>
      <c r="H148" s="129"/>
      <c r="I148" s="129"/>
      <c r="J148" s="129" t="str">
        <f>IFERROR(VLOOKUP($G148,工作量标准!$C:$D,2,0)*IF(IFERROR(FIND("A级",$H148),0)&gt;0,1,IF(IFERROR(FIND("B级",$H148),0)&gt;0,3,IF(IFERROR(FIND("C级",$H148),0)&gt;0,5,IF(IFERROR(FIND("D级",$H148),0)&gt;0,8,1)))),"")</f>
        <v/>
      </c>
      <c r="K148" s="19" t="str">
        <f t="shared" si="6"/>
        <v/>
      </c>
      <c r="L148" s="129" t="str">
        <f t="shared" si="7"/>
        <v/>
      </c>
      <c r="M148" s="129"/>
      <c r="N148" s="129"/>
      <c r="O148" s="137" t="e">
        <f>VLOOKUP($G148,工作量标准!$C:$E,3,0)</f>
        <v>#N/A</v>
      </c>
    </row>
    <row r="149" customHeight="1" spans="1:15">
      <c r="A149" s="146">
        <v>113</v>
      </c>
      <c r="B149" s="147"/>
      <c r="C149" s="147"/>
      <c r="D149" s="147"/>
      <c r="E149" s="129"/>
      <c r="F149" s="129"/>
      <c r="G149" s="129"/>
      <c r="H149" s="129"/>
      <c r="I149" s="129"/>
      <c r="J149" s="129" t="str">
        <f>IFERROR(VLOOKUP($G149,工作量标准!$C:$D,2,0)*IF(IFERROR(FIND("A级",$H149),0)&gt;0,1,IF(IFERROR(FIND("B级",$H149),0)&gt;0,3,IF(IFERROR(FIND("C级",$H149),0)&gt;0,5,IF(IFERROR(FIND("D级",$H149),0)&gt;0,8,1)))),"")</f>
        <v/>
      </c>
      <c r="K149" s="19" t="str">
        <f t="shared" si="6"/>
        <v/>
      </c>
      <c r="L149" s="129" t="str">
        <f t="shared" si="7"/>
        <v/>
      </c>
      <c r="M149" s="129"/>
      <c r="N149" s="129"/>
      <c r="O149" s="137" t="e">
        <f>VLOOKUP($G149,工作量标准!$C:$E,3,0)</f>
        <v>#N/A</v>
      </c>
    </row>
    <row r="150" customHeight="1" spans="1:15">
      <c r="A150" s="146">
        <v>114</v>
      </c>
      <c r="B150" s="147"/>
      <c r="C150" s="147"/>
      <c r="D150" s="147"/>
      <c r="E150" s="129"/>
      <c r="F150" s="129"/>
      <c r="G150" s="129"/>
      <c r="H150" s="129"/>
      <c r="I150" s="129"/>
      <c r="J150" s="129" t="str">
        <f>IFERROR(VLOOKUP($G150,工作量标准!$C:$D,2,0)*IF(IFERROR(FIND("A级",$H150),0)&gt;0,1,IF(IFERROR(FIND("B级",$H150),0)&gt;0,3,IF(IFERROR(FIND("C级",$H150),0)&gt;0,5,IF(IFERROR(FIND("D级",$H150),0)&gt;0,8,1)))),"")</f>
        <v/>
      </c>
      <c r="K150" s="19" t="str">
        <f t="shared" si="6"/>
        <v/>
      </c>
      <c r="L150" s="129" t="str">
        <f t="shared" si="7"/>
        <v/>
      </c>
      <c r="M150" s="129"/>
      <c r="N150" s="129"/>
      <c r="O150" s="137" t="e">
        <f>VLOOKUP($G150,工作量标准!$C:$E,3,0)</f>
        <v>#N/A</v>
      </c>
    </row>
    <row r="151" customHeight="1" spans="1:15">
      <c r="A151" s="146">
        <v>115</v>
      </c>
      <c r="B151" s="147"/>
      <c r="C151" s="147"/>
      <c r="D151" s="147"/>
      <c r="E151" s="129"/>
      <c r="F151" s="129"/>
      <c r="G151" s="129"/>
      <c r="H151" s="129"/>
      <c r="I151" s="129"/>
      <c r="J151" s="129" t="str">
        <f>IFERROR(VLOOKUP($G151,工作量标准!$C:$D,2,0)*IF(IFERROR(FIND("A级",$H151),0)&gt;0,1,IF(IFERROR(FIND("B级",$H151),0)&gt;0,3,IF(IFERROR(FIND("C级",$H151),0)&gt;0,5,IF(IFERROR(FIND("D级",$H151),0)&gt;0,8,1)))),"")</f>
        <v/>
      </c>
      <c r="K151" s="19" t="str">
        <f t="shared" si="6"/>
        <v/>
      </c>
      <c r="L151" s="129" t="str">
        <f t="shared" si="7"/>
        <v/>
      </c>
      <c r="M151" s="129"/>
      <c r="N151" s="129"/>
      <c r="O151" s="137" t="e">
        <f>VLOOKUP($G151,工作量标准!$C:$E,3,0)</f>
        <v>#N/A</v>
      </c>
    </row>
    <row r="152" customHeight="1" spans="1:15">
      <c r="A152" s="146">
        <v>116</v>
      </c>
      <c r="B152" s="147"/>
      <c r="C152" s="147"/>
      <c r="D152" s="147"/>
      <c r="E152" s="129"/>
      <c r="F152" s="129"/>
      <c r="G152" s="129"/>
      <c r="H152" s="129"/>
      <c r="I152" s="129"/>
      <c r="J152" s="129" t="str">
        <f>IFERROR(VLOOKUP($G152,工作量标准!$C:$D,2,0)*IF(IFERROR(FIND("A级",$H152),0)&gt;0,1,IF(IFERROR(FIND("B级",$H152),0)&gt;0,3,IF(IFERROR(FIND("C级",$H152),0)&gt;0,5,IF(IFERROR(FIND("D级",$H152),0)&gt;0,8,1)))),"")</f>
        <v/>
      </c>
      <c r="K152" s="19" t="str">
        <f t="shared" si="6"/>
        <v/>
      </c>
      <c r="L152" s="129" t="str">
        <f t="shared" si="7"/>
        <v/>
      </c>
      <c r="M152" s="129"/>
      <c r="N152" s="129"/>
      <c r="O152" s="137" t="e">
        <f>VLOOKUP($G152,工作量标准!$C:$E,3,0)</f>
        <v>#N/A</v>
      </c>
    </row>
    <row r="153" customHeight="1" spans="1:15">
      <c r="A153" s="146">
        <v>117</v>
      </c>
      <c r="B153" s="147"/>
      <c r="C153" s="147"/>
      <c r="D153" s="147"/>
      <c r="E153" s="129"/>
      <c r="F153" s="129"/>
      <c r="G153" s="129"/>
      <c r="H153" s="129"/>
      <c r="I153" s="129"/>
      <c r="J153" s="129" t="str">
        <f>IFERROR(VLOOKUP($G153,工作量标准!$C:$D,2,0)*IF(IFERROR(FIND("A级",$H153),0)&gt;0,1,IF(IFERROR(FIND("B级",$H153),0)&gt;0,3,IF(IFERROR(FIND("C级",$H153),0)&gt;0,5,IF(IFERROR(FIND("D级",$H153),0)&gt;0,8,1)))),"")</f>
        <v/>
      </c>
      <c r="K153" s="19" t="str">
        <f t="shared" si="6"/>
        <v/>
      </c>
      <c r="L153" s="129" t="str">
        <f t="shared" si="7"/>
        <v/>
      </c>
      <c r="M153" s="129"/>
      <c r="N153" s="129"/>
      <c r="O153" s="137" t="e">
        <f>VLOOKUP($G153,工作量标准!$C:$E,3,0)</f>
        <v>#N/A</v>
      </c>
    </row>
    <row r="154" customHeight="1" spans="1:15">
      <c r="A154" s="146">
        <v>118</v>
      </c>
      <c r="B154" s="147"/>
      <c r="C154" s="147"/>
      <c r="D154" s="147"/>
      <c r="E154" s="129"/>
      <c r="F154" s="129"/>
      <c r="G154" s="129"/>
      <c r="H154" s="129"/>
      <c r="I154" s="129"/>
      <c r="J154" s="129" t="str">
        <f>IFERROR(VLOOKUP($G154,工作量标准!$C:$D,2,0)*IF(IFERROR(FIND("A级",$H154),0)&gt;0,1,IF(IFERROR(FIND("B级",$H154),0)&gt;0,3,IF(IFERROR(FIND("C级",$H154),0)&gt;0,5,IF(IFERROR(FIND("D级",$H154),0)&gt;0,8,1)))),"")</f>
        <v/>
      </c>
      <c r="K154" s="19" t="str">
        <f t="shared" si="6"/>
        <v/>
      </c>
      <c r="L154" s="129" t="str">
        <f t="shared" si="7"/>
        <v/>
      </c>
      <c r="M154" s="129"/>
      <c r="N154" s="129"/>
      <c r="O154" s="137" t="e">
        <f>VLOOKUP($G154,工作量标准!$C:$E,3,0)</f>
        <v>#N/A</v>
      </c>
    </row>
    <row r="155" customHeight="1" spans="1:15">
      <c r="A155" s="146">
        <v>119</v>
      </c>
      <c r="B155" s="147"/>
      <c r="C155" s="147"/>
      <c r="D155" s="147"/>
      <c r="E155" s="129"/>
      <c r="F155" s="129"/>
      <c r="G155" s="129"/>
      <c r="H155" s="129"/>
      <c r="I155" s="129"/>
      <c r="J155" s="129" t="str">
        <f>IFERROR(VLOOKUP($G155,工作量标准!$C:$D,2,0)*IF(IFERROR(FIND("A级",$H155),0)&gt;0,1,IF(IFERROR(FIND("B级",$H155),0)&gt;0,3,IF(IFERROR(FIND("C级",$H155),0)&gt;0,5,IF(IFERROR(FIND("D级",$H155),0)&gt;0,8,1)))),"")</f>
        <v/>
      </c>
      <c r="K155" s="19" t="str">
        <f t="shared" si="6"/>
        <v/>
      </c>
      <c r="L155" s="129" t="str">
        <f t="shared" si="7"/>
        <v/>
      </c>
      <c r="M155" s="129"/>
      <c r="N155" s="129"/>
      <c r="O155" s="137" t="e">
        <f>VLOOKUP($G155,工作量标准!$C:$E,3,0)</f>
        <v>#N/A</v>
      </c>
    </row>
    <row r="156" customHeight="1" spans="1:15">
      <c r="A156" s="146">
        <v>120</v>
      </c>
      <c r="B156" s="147"/>
      <c r="C156" s="147"/>
      <c r="D156" s="147"/>
      <c r="E156" s="129"/>
      <c r="F156" s="129"/>
      <c r="G156" s="129"/>
      <c r="H156" s="129"/>
      <c r="I156" s="129"/>
      <c r="J156" s="129" t="str">
        <f>IFERROR(VLOOKUP($G156,工作量标准!$C:$D,2,0)*IF(IFERROR(FIND("A级",$H156),0)&gt;0,1,IF(IFERROR(FIND("B级",$H156),0)&gt;0,3,IF(IFERROR(FIND("C级",$H156),0)&gt;0,5,IF(IFERROR(FIND("D级",$H156),0)&gt;0,8,1)))),"")</f>
        <v/>
      </c>
      <c r="K156" s="19" t="str">
        <f t="shared" si="6"/>
        <v/>
      </c>
      <c r="L156" s="129" t="str">
        <f t="shared" si="7"/>
        <v/>
      </c>
      <c r="M156" s="129"/>
      <c r="N156" s="129"/>
      <c r="O156" s="137" t="e">
        <f>VLOOKUP($G156,工作量标准!$C:$E,3,0)</f>
        <v>#N/A</v>
      </c>
    </row>
    <row r="157" customHeight="1" spans="1:15">
      <c r="A157" s="146">
        <v>121</v>
      </c>
      <c r="B157" s="147"/>
      <c r="C157" s="147"/>
      <c r="D157" s="147"/>
      <c r="E157" s="129"/>
      <c r="F157" s="129"/>
      <c r="G157" s="129"/>
      <c r="H157" s="129"/>
      <c r="I157" s="129"/>
      <c r="J157" s="129" t="str">
        <f>IFERROR(VLOOKUP($G157,工作量标准!$C:$D,2,0)*IF(IFERROR(FIND("A级",$H157),0)&gt;0,1,IF(IFERROR(FIND("B级",$H157),0)&gt;0,3,IF(IFERROR(FIND("C级",$H157),0)&gt;0,5,IF(IFERROR(FIND("D级",$H157),0)&gt;0,8,1)))),"")</f>
        <v/>
      </c>
      <c r="K157" s="19" t="str">
        <f t="shared" si="6"/>
        <v/>
      </c>
      <c r="L157" s="129" t="str">
        <f t="shared" si="7"/>
        <v/>
      </c>
      <c r="M157" s="129"/>
      <c r="N157" s="129"/>
      <c r="O157" s="137" t="e">
        <f>VLOOKUP($G157,工作量标准!$C:$E,3,0)</f>
        <v>#N/A</v>
      </c>
    </row>
    <row r="158" customHeight="1" spans="1:15">
      <c r="A158" s="146">
        <v>122</v>
      </c>
      <c r="B158" s="147"/>
      <c r="C158" s="147"/>
      <c r="D158" s="147"/>
      <c r="E158" s="129"/>
      <c r="F158" s="129"/>
      <c r="G158" s="129"/>
      <c r="H158" s="129"/>
      <c r="I158" s="129"/>
      <c r="J158" s="129" t="str">
        <f>IFERROR(VLOOKUP($G158,工作量标准!$C:$D,2,0)*IF(IFERROR(FIND("A级",$H158),0)&gt;0,1,IF(IFERROR(FIND("B级",$H158),0)&gt;0,3,IF(IFERROR(FIND("C级",$H158),0)&gt;0,5,IF(IFERROR(FIND("D级",$H158),0)&gt;0,8,1)))),"")</f>
        <v/>
      </c>
      <c r="K158" s="19" t="str">
        <f t="shared" si="6"/>
        <v/>
      </c>
      <c r="L158" s="129" t="str">
        <f t="shared" si="7"/>
        <v/>
      </c>
      <c r="M158" s="129"/>
      <c r="N158" s="129"/>
      <c r="O158" s="137" t="e">
        <f>VLOOKUP($G158,工作量标准!$C:$E,3,0)</f>
        <v>#N/A</v>
      </c>
    </row>
    <row r="159" customHeight="1" spans="1:15">
      <c r="A159" s="146">
        <v>123</v>
      </c>
      <c r="B159" s="147"/>
      <c r="C159" s="147"/>
      <c r="D159" s="147"/>
      <c r="E159" s="129"/>
      <c r="F159" s="129"/>
      <c r="G159" s="129"/>
      <c r="H159" s="129"/>
      <c r="I159" s="129"/>
      <c r="J159" s="129" t="str">
        <f>IFERROR(VLOOKUP($G159,工作量标准!$C:$D,2,0)*IF(IFERROR(FIND("A级",$H159),0)&gt;0,1,IF(IFERROR(FIND("B级",$H159),0)&gt;0,3,IF(IFERROR(FIND("C级",$H159),0)&gt;0,5,IF(IFERROR(FIND("D级",$H159),0)&gt;0,8,1)))),"")</f>
        <v/>
      </c>
      <c r="K159" s="19" t="str">
        <f t="shared" si="6"/>
        <v/>
      </c>
      <c r="L159" s="129" t="str">
        <f t="shared" si="7"/>
        <v/>
      </c>
      <c r="M159" s="129"/>
      <c r="N159" s="129"/>
      <c r="O159" s="137" t="e">
        <f>VLOOKUP($G159,工作量标准!$C:$E,3,0)</f>
        <v>#N/A</v>
      </c>
    </row>
    <row r="160" customHeight="1" spans="1:15">
      <c r="A160" s="146">
        <v>124</v>
      </c>
      <c r="B160" s="147"/>
      <c r="C160" s="147"/>
      <c r="D160" s="147"/>
      <c r="E160" s="129"/>
      <c r="F160" s="129"/>
      <c r="G160" s="129"/>
      <c r="H160" s="129"/>
      <c r="I160" s="129"/>
      <c r="J160" s="129" t="str">
        <f>IFERROR(VLOOKUP($G160,工作量标准!$C:$D,2,0)*IF(IFERROR(FIND("A级",$H160),0)&gt;0,1,IF(IFERROR(FIND("B级",$H160),0)&gt;0,3,IF(IFERROR(FIND("C级",$H160),0)&gt;0,5,IF(IFERROR(FIND("D级",$H160),0)&gt;0,8,1)))),"")</f>
        <v/>
      </c>
      <c r="K160" s="19" t="str">
        <f t="shared" si="6"/>
        <v/>
      </c>
      <c r="L160" s="129" t="str">
        <f t="shared" si="7"/>
        <v/>
      </c>
      <c r="M160" s="129"/>
      <c r="N160" s="129"/>
      <c r="O160" s="137" t="e">
        <f>VLOOKUP($G160,工作量标准!$C:$E,3,0)</f>
        <v>#N/A</v>
      </c>
    </row>
    <row r="161" customHeight="1" spans="1:15">
      <c r="A161" s="146">
        <v>125</v>
      </c>
      <c r="B161" s="147"/>
      <c r="C161" s="147"/>
      <c r="D161" s="147"/>
      <c r="E161" s="129"/>
      <c r="F161" s="129"/>
      <c r="G161" s="129"/>
      <c r="H161" s="129"/>
      <c r="I161" s="129"/>
      <c r="J161" s="129" t="str">
        <f>IFERROR(VLOOKUP($G161,工作量标准!$C:$D,2,0)*IF(IFERROR(FIND("A级",$H161),0)&gt;0,1,IF(IFERROR(FIND("B级",$H161),0)&gt;0,3,IF(IFERROR(FIND("C级",$H161),0)&gt;0,5,IF(IFERROR(FIND("D级",$H161),0)&gt;0,8,1)))),"")</f>
        <v/>
      </c>
      <c r="K161" s="19" t="str">
        <f t="shared" si="6"/>
        <v/>
      </c>
      <c r="L161" s="129" t="str">
        <f t="shared" si="7"/>
        <v/>
      </c>
      <c r="M161" s="129"/>
      <c r="N161" s="129"/>
      <c r="O161" s="137" t="e">
        <f>VLOOKUP($G161,工作量标准!$C:$E,3,0)</f>
        <v>#N/A</v>
      </c>
    </row>
    <row r="162" customHeight="1" spans="1:15">
      <c r="A162" s="146">
        <v>126</v>
      </c>
      <c r="B162" s="147"/>
      <c r="C162" s="147"/>
      <c r="D162" s="147"/>
      <c r="E162" s="129"/>
      <c r="F162" s="129"/>
      <c r="G162" s="129"/>
      <c r="H162" s="129"/>
      <c r="I162" s="129"/>
      <c r="J162" s="129" t="str">
        <f>IFERROR(VLOOKUP($G162,工作量标准!$C:$D,2,0)*IF(IFERROR(FIND("A级",$H162),0)&gt;0,1,IF(IFERROR(FIND("B级",$H162),0)&gt;0,3,IF(IFERROR(FIND("C级",$H162),0)&gt;0,5,IF(IFERROR(FIND("D级",$H162),0)&gt;0,8,1)))),"")</f>
        <v/>
      </c>
      <c r="K162" s="19" t="str">
        <f t="shared" si="6"/>
        <v/>
      </c>
      <c r="L162" s="129" t="str">
        <f t="shared" si="7"/>
        <v/>
      </c>
      <c r="M162" s="129"/>
      <c r="N162" s="129"/>
      <c r="O162" s="137" t="e">
        <f>VLOOKUP($G162,工作量标准!$C:$E,3,0)</f>
        <v>#N/A</v>
      </c>
    </row>
    <row r="163" customHeight="1" spans="1:15">
      <c r="A163" s="146">
        <v>127</v>
      </c>
      <c r="B163" s="147"/>
      <c r="C163" s="147"/>
      <c r="D163" s="147"/>
      <c r="E163" s="129"/>
      <c r="F163" s="129"/>
      <c r="G163" s="129"/>
      <c r="H163" s="129"/>
      <c r="I163" s="129"/>
      <c r="J163" s="129" t="str">
        <f>IFERROR(VLOOKUP($G163,工作量标准!$C:$D,2,0)*IF(IFERROR(FIND("A级",$H163),0)&gt;0,1,IF(IFERROR(FIND("B级",$H163),0)&gt;0,3,IF(IFERROR(FIND("C级",$H163),0)&gt;0,5,IF(IFERROR(FIND("D级",$H163),0)&gt;0,8,1)))),"")</f>
        <v/>
      </c>
      <c r="K163" s="19" t="str">
        <f t="shared" si="6"/>
        <v/>
      </c>
      <c r="L163" s="129" t="str">
        <f t="shared" si="7"/>
        <v/>
      </c>
      <c r="M163" s="129"/>
      <c r="N163" s="129"/>
      <c r="O163" s="137" t="e">
        <f>VLOOKUP($G163,工作量标准!$C:$E,3,0)</f>
        <v>#N/A</v>
      </c>
    </row>
    <row r="164" customHeight="1" spans="1:15">
      <c r="A164" s="146">
        <v>128</v>
      </c>
      <c r="B164" s="147"/>
      <c r="C164" s="147"/>
      <c r="D164" s="147"/>
      <c r="E164" s="129"/>
      <c r="F164" s="129"/>
      <c r="G164" s="129"/>
      <c r="H164" s="129"/>
      <c r="I164" s="129"/>
      <c r="J164" s="129" t="str">
        <f>IFERROR(VLOOKUP($G164,工作量标准!$C:$D,2,0)*IF(IFERROR(FIND("A级",$H164),0)&gt;0,1,IF(IFERROR(FIND("B级",$H164),0)&gt;0,3,IF(IFERROR(FIND("C级",$H164),0)&gt;0,5,IF(IFERROR(FIND("D级",$H164),0)&gt;0,8,1)))),"")</f>
        <v/>
      </c>
      <c r="K164" s="19" t="str">
        <f t="shared" si="6"/>
        <v/>
      </c>
      <c r="L164" s="129" t="str">
        <f t="shared" si="7"/>
        <v/>
      </c>
      <c r="M164" s="129"/>
      <c r="N164" s="129"/>
      <c r="O164" s="137" t="e">
        <f>VLOOKUP($G164,工作量标准!$C:$E,3,0)</f>
        <v>#N/A</v>
      </c>
    </row>
    <row r="165" customHeight="1" spans="1:15">
      <c r="A165" s="146">
        <v>129</v>
      </c>
      <c r="B165" s="147"/>
      <c r="C165" s="147"/>
      <c r="D165" s="147"/>
      <c r="E165" s="129"/>
      <c r="F165" s="129"/>
      <c r="G165" s="129"/>
      <c r="H165" s="129"/>
      <c r="I165" s="129"/>
      <c r="J165" s="129" t="str">
        <f>IFERROR(VLOOKUP($G165,工作量标准!$C:$D,2,0)*IF(IFERROR(FIND("A级",$H165),0)&gt;0,1,IF(IFERROR(FIND("B级",$H165),0)&gt;0,3,IF(IFERROR(FIND("C级",$H165),0)&gt;0,5,IF(IFERROR(FIND("D级",$H165),0)&gt;0,8,1)))),"")</f>
        <v/>
      </c>
      <c r="K165" s="19" t="str">
        <f t="shared" si="6"/>
        <v/>
      </c>
      <c r="L165" s="129" t="str">
        <f t="shared" si="7"/>
        <v/>
      </c>
      <c r="M165" s="129"/>
      <c r="N165" s="129"/>
      <c r="O165" s="137" t="e">
        <f>VLOOKUP($G165,工作量标准!$C:$E,3,0)</f>
        <v>#N/A</v>
      </c>
    </row>
    <row r="166" customHeight="1" spans="1:15">
      <c r="A166" s="146">
        <v>130</v>
      </c>
      <c r="B166" s="147"/>
      <c r="C166" s="147"/>
      <c r="D166" s="147"/>
      <c r="E166" s="129"/>
      <c r="F166" s="129"/>
      <c r="G166" s="129"/>
      <c r="H166" s="129"/>
      <c r="I166" s="129"/>
      <c r="J166" s="129" t="str">
        <f>IFERROR(VLOOKUP($G166,工作量标准!$C:$D,2,0)*IF(IFERROR(FIND("A级",$H166),0)&gt;0,1,IF(IFERROR(FIND("B级",$H166),0)&gt;0,3,IF(IFERROR(FIND("C级",$H166),0)&gt;0,5,IF(IFERROR(FIND("D级",$H166),0)&gt;0,8,1)))),"")</f>
        <v/>
      </c>
      <c r="K166" s="19" t="str">
        <f t="shared" ref="K166:K229" si="8">IF($J166="","",ROUND(800/1.06,3))</f>
        <v/>
      </c>
      <c r="L166" s="129" t="str">
        <f t="shared" ref="L166:L229" si="9">IFERROR(ROUND($J166*$K166/10000,4),"")</f>
        <v/>
      </c>
      <c r="M166" s="129"/>
      <c r="N166" s="129"/>
      <c r="O166" s="137" t="e">
        <f>VLOOKUP($G166,工作量标准!$C:$E,3,0)</f>
        <v>#N/A</v>
      </c>
    </row>
    <row r="167" customHeight="1" spans="1:15">
      <c r="A167" s="146">
        <v>131</v>
      </c>
      <c r="B167" s="147"/>
      <c r="C167" s="147"/>
      <c r="D167" s="147"/>
      <c r="E167" s="129"/>
      <c r="F167" s="129"/>
      <c r="G167" s="129"/>
      <c r="H167" s="129"/>
      <c r="I167" s="129"/>
      <c r="J167" s="129" t="str">
        <f>IFERROR(VLOOKUP($G167,工作量标准!$C:$D,2,0)*IF(IFERROR(FIND("A级",$H167),0)&gt;0,1,IF(IFERROR(FIND("B级",$H167),0)&gt;0,3,IF(IFERROR(FIND("C级",$H167),0)&gt;0,5,IF(IFERROR(FIND("D级",$H167),0)&gt;0,8,1)))),"")</f>
        <v/>
      </c>
      <c r="K167" s="19" t="str">
        <f t="shared" si="8"/>
        <v/>
      </c>
      <c r="L167" s="129" t="str">
        <f t="shared" si="9"/>
        <v/>
      </c>
      <c r="M167" s="129"/>
      <c r="N167" s="129"/>
      <c r="O167" s="137" t="e">
        <f>VLOOKUP($G167,工作量标准!$C:$E,3,0)</f>
        <v>#N/A</v>
      </c>
    </row>
    <row r="168" customHeight="1" spans="1:15">
      <c r="A168" s="146">
        <v>132</v>
      </c>
      <c r="B168" s="147"/>
      <c r="C168" s="147"/>
      <c r="D168" s="147"/>
      <c r="E168" s="129"/>
      <c r="F168" s="129"/>
      <c r="G168" s="129"/>
      <c r="H168" s="129"/>
      <c r="I168" s="129"/>
      <c r="J168" s="129" t="str">
        <f>IFERROR(VLOOKUP($G168,工作量标准!$C:$D,2,0)*IF(IFERROR(FIND("A级",$H168),0)&gt;0,1,IF(IFERROR(FIND("B级",$H168),0)&gt;0,3,IF(IFERROR(FIND("C级",$H168),0)&gt;0,5,IF(IFERROR(FIND("D级",$H168),0)&gt;0,8,1)))),"")</f>
        <v/>
      </c>
      <c r="K168" s="19" t="str">
        <f t="shared" si="8"/>
        <v/>
      </c>
      <c r="L168" s="129" t="str">
        <f t="shared" si="9"/>
        <v/>
      </c>
      <c r="M168" s="129"/>
      <c r="N168" s="129"/>
      <c r="O168" s="137" t="e">
        <f>VLOOKUP($G168,工作量标准!$C:$E,3,0)</f>
        <v>#N/A</v>
      </c>
    </row>
    <row r="169" customHeight="1" spans="1:15">
      <c r="A169" s="146">
        <v>133</v>
      </c>
      <c r="B169" s="147"/>
      <c r="C169" s="147"/>
      <c r="D169" s="147"/>
      <c r="E169" s="129"/>
      <c r="F169" s="129"/>
      <c r="G169" s="129"/>
      <c r="H169" s="129"/>
      <c r="I169" s="129"/>
      <c r="J169" s="129" t="str">
        <f>IFERROR(VLOOKUP($G169,工作量标准!$C:$D,2,0)*IF(IFERROR(FIND("A级",$H169),0)&gt;0,1,IF(IFERROR(FIND("B级",$H169),0)&gt;0,3,IF(IFERROR(FIND("C级",$H169),0)&gt;0,5,IF(IFERROR(FIND("D级",$H169),0)&gt;0,8,1)))),"")</f>
        <v/>
      </c>
      <c r="K169" s="19" t="str">
        <f t="shared" si="8"/>
        <v/>
      </c>
      <c r="L169" s="129" t="str">
        <f t="shared" si="9"/>
        <v/>
      </c>
      <c r="M169" s="129"/>
      <c r="N169" s="129"/>
      <c r="O169" s="137" t="e">
        <f>VLOOKUP($G169,工作量标准!$C:$E,3,0)</f>
        <v>#N/A</v>
      </c>
    </row>
    <row r="170" customHeight="1" spans="1:15">
      <c r="A170" s="146">
        <v>134</v>
      </c>
      <c r="B170" s="147"/>
      <c r="C170" s="147"/>
      <c r="D170" s="147"/>
      <c r="E170" s="129"/>
      <c r="F170" s="129"/>
      <c r="G170" s="129"/>
      <c r="H170" s="129"/>
      <c r="I170" s="129"/>
      <c r="J170" s="129" t="str">
        <f>IFERROR(VLOOKUP($G170,工作量标准!$C:$D,2,0)*IF(IFERROR(FIND("A级",$H170),0)&gt;0,1,IF(IFERROR(FIND("B级",$H170),0)&gt;0,3,IF(IFERROR(FIND("C级",$H170),0)&gt;0,5,IF(IFERROR(FIND("D级",$H170),0)&gt;0,8,1)))),"")</f>
        <v/>
      </c>
      <c r="K170" s="19" t="str">
        <f t="shared" si="8"/>
        <v/>
      </c>
      <c r="L170" s="129" t="str">
        <f t="shared" si="9"/>
        <v/>
      </c>
      <c r="M170" s="129"/>
      <c r="N170" s="129"/>
      <c r="O170" s="137" t="e">
        <f>VLOOKUP($G170,工作量标准!$C:$E,3,0)</f>
        <v>#N/A</v>
      </c>
    </row>
    <row r="171" customHeight="1" spans="1:15">
      <c r="A171" s="146">
        <v>135</v>
      </c>
      <c r="B171" s="147"/>
      <c r="C171" s="147"/>
      <c r="D171" s="147"/>
      <c r="E171" s="129"/>
      <c r="F171" s="129"/>
      <c r="G171" s="129"/>
      <c r="H171" s="129"/>
      <c r="I171" s="129"/>
      <c r="J171" s="129" t="str">
        <f>IFERROR(VLOOKUP($G171,工作量标准!$C:$D,2,0)*IF(IFERROR(FIND("A级",$H171),0)&gt;0,1,IF(IFERROR(FIND("B级",$H171),0)&gt;0,3,IF(IFERROR(FIND("C级",$H171),0)&gt;0,5,IF(IFERROR(FIND("D级",$H171),0)&gt;0,8,1)))),"")</f>
        <v/>
      </c>
      <c r="K171" s="19" t="str">
        <f t="shared" si="8"/>
        <v/>
      </c>
      <c r="L171" s="129" t="str">
        <f t="shared" si="9"/>
        <v/>
      </c>
      <c r="M171" s="129"/>
      <c r="N171" s="129"/>
      <c r="O171" s="137" t="e">
        <f>VLOOKUP($G171,工作量标准!$C:$E,3,0)</f>
        <v>#N/A</v>
      </c>
    </row>
    <row r="172" customHeight="1" spans="1:15">
      <c r="A172" s="146">
        <v>136</v>
      </c>
      <c r="B172" s="147"/>
      <c r="C172" s="147"/>
      <c r="D172" s="147"/>
      <c r="E172" s="129"/>
      <c r="F172" s="129"/>
      <c r="G172" s="129"/>
      <c r="H172" s="129"/>
      <c r="I172" s="129"/>
      <c r="J172" s="129" t="str">
        <f>IFERROR(VLOOKUP($G172,工作量标准!$C:$D,2,0)*IF(IFERROR(FIND("A级",$H172),0)&gt;0,1,IF(IFERROR(FIND("B级",$H172),0)&gt;0,3,IF(IFERROR(FIND("C级",$H172),0)&gt;0,5,IF(IFERROR(FIND("D级",$H172),0)&gt;0,8,1)))),"")</f>
        <v/>
      </c>
      <c r="K172" s="19" t="str">
        <f t="shared" si="8"/>
        <v/>
      </c>
      <c r="L172" s="129" t="str">
        <f t="shared" si="9"/>
        <v/>
      </c>
      <c r="M172" s="129"/>
      <c r="N172" s="129"/>
      <c r="O172" s="137" t="e">
        <f>VLOOKUP($G172,工作量标准!$C:$E,3,0)</f>
        <v>#N/A</v>
      </c>
    </row>
    <row r="173" customHeight="1" spans="1:15">
      <c r="A173" s="146">
        <v>137</v>
      </c>
      <c r="B173" s="147"/>
      <c r="C173" s="147"/>
      <c r="D173" s="147"/>
      <c r="E173" s="129"/>
      <c r="F173" s="129"/>
      <c r="G173" s="129"/>
      <c r="H173" s="129"/>
      <c r="I173" s="129"/>
      <c r="J173" s="129" t="str">
        <f>IFERROR(VLOOKUP($G173,工作量标准!$C:$D,2,0)*IF(IFERROR(FIND("A级",$H173),0)&gt;0,1,IF(IFERROR(FIND("B级",$H173),0)&gt;0,3,IF(IFERROR(FIND("C级",$H173),0)&gt;0,5,IF(IFERROR(FIND("D级",$H173),0)&gt;0,8,1)))),"")</f>
        <v/>
      </c>
      <c r="K173" s="19" t="str">
        <f t="shared" si="8"/>
        <v/>
      </c>
      <c r="L173" s="129" t="str">
        <f t="shared" si="9"/>
        <v/>
      </c>
      <c r="M173" s="129"/>
      <c r="N173" s="129"/>
      <c r="O173" s="137" t="e">
        <f>VLOOKUP($G173,工作量标准!$C:$E,3,0)</f>
        <v>#N/A</v>
      </c>
    </row>
    <row r="174" customHeight="1" spans="1:15">
      <c r="A174" s="146">
        <v>138</v>
      </c>
      <c r="B174" s="147"/>
      <c r="C174" s="147"/>
      <c r="D174" s="147"/>
      <c r="E174" s="129"/>
      <c r="F174" s="129"/>
      <c r="G174" s="129"/>
      <c r="H174" s="129"/>
      <c r="I174" s="129"/>
      <c r="J174" s="129" t="str">
        <f>IFERROR(VLOOKUP($G174,工作量标准!$C:$D,2,0)*IF(IFERROR(FIND("A级",$H174),0)&gt;0,1,IF(IFERROR(FIND("B级",$H174),0)&gt;0,3,IF(IFERROR(FIND("C级",$H174),0)&gt;0,5,IF(IFERROR(FIND("D级",$H174),0)&gt;0,8,1)))),"")</f>
        <v/>
      </c>
      <c r="K174" s="19" t="str">
        <f t="shared" si="8"/>
        <v/>
      </c>
      <c r="L174" s="129" t="str">
        <f t="shared" si="9"/>
        <v/>
      </c>
      <c r="M174" s="129"/>
      <c r="N174" s="129"/>
      <c r="O174" s="137" t="e">
        <f>VLOOKUP($G174,工作量标准!$C:$E,3,0)</f>
        <v>#N/A</v>
      </c>
    </row>
    <row r="175" customHeight="1" spans="1:15">
      <c r="A175" s="146">
        <v>139</v>
      </c>
      <c r="B175" s="147"/>
      <c r="C175" s="147"/>
      <c r="D175" s="147"/>
      <c r="E175" s="129"/>
      <c r="F175" s="129"/>
      <c r="G175" s="129"/>
      <c r="H175" s="129"/>
      <c r="I175" s="129"/>
      <c r="J175" s="129" t="str">
        <f>IFERROR(VLOOKUP($G175,工作量标准!$C:$D,2,0)*IF(IFERROR(FIND("A级",$H175),0)&gt;0,1,IF(IFERROR(FIND("B级",$H175),0)&gt;0,3,IF(IFERROR(FIND("C级",$H175),0)&gt;0,5,IF(IFERROR(FIND("D级",$H175),0)&gt;0,8,1)))),"")</f>
        <v/>
      </c>
      <c r="K175" s="19" t="str">
        <f t="shared" si="8"/>
        <v/>
      </c>
      <c r="L175" s="129" t="str">
        <f t="shared" si="9"/>
        <v/>
      </c>
      <c r="M175" s="129"/>
      <c r="N175" s="129"/>
      <c r="O175" s="137" t="e">
        <f>VLOOKUP($G175,工作量标准!$C:$E,3,0)</f>
        <v>#N/A</v>
      </c>
    </row>
    <row r="176" customHeight="1" spans="1:15">
      <c r="A176" s="146">
        <v>140</v>
      </c>
      <c r="B176" s="147"/>
      <c r="C176" s="147"/>
      <c r="D176" s="147"/>
      <c r="E176" s="129"/>
      <c r="F176" s="129"/>
      <c r="G176" s="129"/>
      <c r="H176" s="129"/>
      <c r="I176" s="129"/>
      <c r="J176" s="129" t="str">
        <f>IFERROR(VLOOKUP($G176,工作量标准!$C:$D,2,0)*IF(IFERROR(FIND("A级",$H176),0)&gt;0,1,IF(IFERROR(FIND("B级",$H176),0)&gt;0,3,IF(IFERROR(FIND("C级",$H176),0)&gt;0,5,IF(IFERROR(FIND("D级",$H176),0)&gt;0,8,1)))),"")</f>
        <v/>
      </c>
      <c r="K176" s="19" t="str">
        <f t="shared" si="8"/>
        <v/>
      </c>
      <c r="L176" s="129" t="str">
        <f t="shared" si="9"/>
        <v/>
      </c>
      <c r="M176" s="129"/>
      <c r="N176" s="129"/>
      <c r="O176" s="137" t="e">
        <f>VLOOKUP($G176,工作量标准!$C:$E,3,0)</f>
        <v>#N/A</v>
      </c>
    </row>
    <row r="177" customHeight="1" spans="1:15">
      <c r="A177" s="146">
        <v>141</v>
      </c>
      <c r="B177" s="147"/>
      <c r="C177" s="147"/>
      <c r="D177" s="147"/>
      <c r="E177" s="129"/>
      <c r="F177" s="129"/>
      <c r="G177" s="129"/>
      <c r="H177" s="129"/>
      <c r="I177" s="129"/>
      <c r="J177" s="129" t="str">
        <f>IFERROR(VLOOKUP($G177,工作量标准!$C:$D,2,0)*IF(IFERROR(FIND("A级",$H177),0)&gt;0,1,IF(IFERROR(FIND("B级",$H177),0)&gt;0,3,IF(IFERROR(FIND("C级",$H177),0)&gt;0,5,IF(IFERROR(FIND("D级",$H177),0)&gt;0,8,1)))),"")</f>
        <v/>
      </c>
      <c r="K177" s="19" t="str">
        <f t="shared" si="8"/>
        <v/>
      </c>
      <c r="L177" s="129" t="str">
        <f t="shared" si="9"/>
        <v/>
      </c>
      <c r="M177" s="129"/>
      <c r="N177" s="129"/>
      <c r="O177" s="137" t="e">
        <f>VLOOKUP($G177,工作量标准!$C:$E,3,0)</f>
        <v>#N/A</v>
      </c>
    </row>
    <row r="178" customHeight="1" spans="1:15">
      <c r="A178" s="146">
        <v>142</v>
      </c>
      <c r="B178" s="147"/>
      <c r="C178" s="147"/>
      <c r="D178" s="147"/>
      <c r="E178" s="129"/>
      <c r="F178" s="129"/>
      <c r="G178" s="129"/>
      <c r="H178" s="129"/>
      <c r="I178" s="129"/>
      <c r="J178" s="129" t="str">
        <f>IFERROR(VLOOKUP($G178,工作量标准!$C:$D,2,0)*IF(IFERROR(FIND("A级",$H178),0)&gt;0,1,IF(IFERROR(FIND("B级",$H178),0)&gt;0,3,IF(IFERROR(FIND("C级",$H178),0)&gt;0,5,IF(IFERROR(FIND("D级",$H178),0)&gt;0,8,1)))),"")</f>
        <v/>
      </c>
      <c r="K178" s="19" t="str">
        <f t="shared" si="8"/>
        <v/>
      </c>
      <c r="L178" s="129" t="str">
        <f t="shared" si="9"/>
        <v/>
      </c>
      <c r="M178" s="129"/>
      <c r="N178" s="129"/>
      <c r="O178" s="137" t="e">
        <f>VLOOKUP($G178,工作量标准!$C:$E,3,0)</f>
        <v>#N/A</v>
      </c>
    </row>
    <row r="179" customHeight="1" spans="1:15">
      <c r="A179" s="146">
        <v>143</v>
      </c>
      <c r="B179" s="147"/>
      <c r="C179" s="147"/>
      <c r="D179" s="147"/>
      <c r="E179" s="129"/>
      <c r="F179" s="129"/>
      <c r="G179" s="129"/>
      <c r="H179" s="129"/>
      <c r="I179" s="129"/>
      <c r="J179" s="129" t="str">
        <f>IFERROR(VLOOKUP($G179,工作量标准!$C:$D,2,0)*IF(IFERROR(FIND("A级",$H179),0)&gt;0,1,IF(IFERROR(FIND("B级",$H179),0)&gt;0,3,IF(IFERROR(FIND("C级",$H179),0)&gt;0,5,IF(IFERROR(FIND("D级",$H179),0)&gt;0,8,1)))),"")</f>
        <v/>
      </c>
      <c r="K179" s="19" t="str">
        <f t="shared" si="8"/>
        <v/>
      </c>
      <c r="L179" s="129" t="str">
        <f t="shared" si="9"/>
        <v/>
      </c>
      <c r="M179" s="129"/>
      <c r="N179" s="129"/>
      <c r="O179" s="137" t="e">
        <f>VLOOKUP($G179,工作量标准!$C:$E,3,0)</f>
        <v>#N/A</v>
      </c>
    </row>
    <row r="180" customHeight="1" spans="1:15">
      <c r="A180" s="146">
        <v>144</v>
      </c>
      <c r="B180" s="147"/>
      <c r="C180" s="147"/>
      <c r="D180" s="147"/>
      <c r="E180" s="129"/>
      <c r="F180" s="129"/>
      <c r="G180" s="129"/>
      <c r="H180" s="129"/>
      <c r="I180" s="129"/>
      <c r="J180" s="129" t="str">
        <f>IFERROR(VLOOKUP($G180,工作量标准!$C:$D,2,0)*IF(IFERROR(FIND("A级",$H180),0)&gt;0,1,IF(IFERROR(FIND("B级",$H180),0)&gt;0,3,IF(IFERROR(FIND("C级",$H180),0)&gt;0,5,IF(IFERROR(FIND("D级",$H180),0)&gt;0,8,1)))),"")</f>
        <v/>
      </c>
      <c r="K180" s="19" t="str">
        <f t="shared" si="8"/>
        <v/>
      </c>
      <c r="L180" s="129" t="str">
        <f t="shared" si="9"/>
        <v/>
      </c>
      <c r="M180" s="129"/>
      <c r="N180" s="129"/>
      <c r="O180" s="137" t="e">
        <f>VLOOKUP($G180,工作量标准!$C:$E,3,0)</f>
        <v>#N/A</v>
      </c>
    </row>
    <row r="181" customHeight="1" spans="1:15">
      <c r="A181" s="146">
        <v>145</v>
      </c>
      <c r="B181" s="147"/>
      <c r="C181" s="147"/>
      <c r="D181" s="147"/>
      <c r="E181" s="129"/>
      <c r="F181" s="129"/>
      <c r="G181" s="129"/>
      <c r="H181" s="129"/>
      <c r="I181" s="129"/>
      <c r="J181" s="129" t="str">
        <f>IFERROR(VLOOKUP($G181,工作量标准!$C:$D,2,0)*IF(IFERROR(FIND("A级",$H181),0)&gt;0,1,IF(IFERROR(FIND("B级",$H181),0)&gt;0,3,IF(IFERROR(FIND("C级",$H181),0)&gt;0,5,IF(IFERROR(FIND("D级",$H181),0)&gt;0,8,1)))),"")</f>
        <v/>
      </c>
      <c r="K181" s="19" t="str">
        <f t="shared" si="8"/>
        <v/>
      </c>
      <c r="L181" s="129" t="str">
        <f t="shared" si="9"/>
        <v/>
      </c>
      <c r="M181" s="129"/>
      <c r="N181" s="129"/>
      <c r="O181" s="137" t="e">
        <f>VLOOKUP($G181,工作量标准!$C:$E,3,0)</f>
        <v>#N/A</v>
      </c>
    </row>
    <row r="182" customHeight="1" spans="1:15">
      <c r="A182" s="146">
        <v>146</v>
      </c>
      <c r="B182" s="147"/>
      <c r="C182" s="147"/>
      <c r="D182" s="147"/>
      <c r="E182" s="129"/>
      <c r="F182" s="129"/>
      <c r="G182" s="129"/>
      <c r="H182" s="129"/>
      <c r="I182" s="129"/>
      <c r="J182" s="129" t="str">
        <f>IFERROR(VLOOKUP($G182,工作量标准!$C:$D,2,0)*IF(IFERROR(FIND("A级",$H182),0)&gt;0,1,IF(IFERROR(FIND("B级",$H182),0)&gt;0,3,IF(IFERROR(FIND("C级",$H182),0)&gt;0,5,IF(IFERROR(FIND("D级",$H182),0)&gt;0,8,1)))),"")</f>
        <v/>
      </c>
      <c r="K182" s="19" t="str">
        <f t="shared" si="8"/>
        <v/>
      </c>
      <c r="L182" s="129" t="str">
        <f t="shared" si="9"/>
        <v/>
      </c>
      <c r="M182" s="129"/>
      <c r="N182" s="129"/>
      <c r="O182" s="137" t="e">
        <f>VLOOKUP($G182,工作量标准!$C:$E,3,0)</f>
        <v>#N/A</v>
      </c>
    </row>
    <row r="183" customHeight="1" spans="1:15">
      <c r="A183" s="146">
        <v>147</v>
      </c>
      <c r="B183" s="147"/>
      <c r="C183" s="147"/>
      <c r="D183" s="147"/>
      <c r="E183" s="129"/>
      <c r="F183" s="129"/>
      <c r="G183" s="129"/>
      <c r="H183" s="129"/>
      <c r="I183" s="129"/>
      <c r="J183" s="129" t="str">
        <f>IFERROR(VLOOKUP($G183,工作量标准!$C:$D,2,0)*IF(IFERROR(FIND("A级",$H183),0)&gt;0,1,IF(IFERROR(FIND("B级",$H183),0)&gt;0,3,IF(IFERROR(FIND("C级",$H183),0)&gt;0,5,IF(IFERROR(FIND("D级",$H183),0)&gt;0,8,1)))),"")</f>
        <v/>
      </c>
      <c r="K183" s="19" t="str">
        <f t="shared" si="8"/>
        <v/>
      </c>
      <c r="L183" s="129" t="str">
        <f t="shared" si="9"/>
        <v/>
      </c>
      <c r="M183" s="129"/>
      <c r="N183" s="129"/>
      <c r="O183" s="137" t="e">
        <f>VLOOKUP($G183,工作量标准!$C:$E,3,0)</f>
        <v>#N/A</v>
      </c>
    </row>
    <row r="184" customHeight="1" spans="1:15">
      <c r="A184" s="146">
        <v>148</v>
      </c>
      <c r="B184" s="147"/>
      <c r="C184" s="147"/>
      <c r="D184" s="147"/>
      <c r="E184" s="129"/>
      <c r="F184" s="129"/>
      <c r="G184" s="129"/>
      <c r="H184" s="129"/>
      <c r="I184" s="129"/>
      <c r="J184" s="129" t="str">
        <f>IFERROR(VLOOKUP($G184,工作量标准!$C:$D,2,0)*IF(IFERROR(FIND("A级",$H184),0)&gt;0,1,IF(IFERROR(FIND("B级",$H184),0)&gt;0,3,IF(IFERROR(FIND("C级",$H184),0)&gt;0,5,IF(IFERROR(FIND("D级",$H184),0)&gt;0,8,1)))),"")</f>
        <v/>
      </c>
      <c r="K184" s="19" t="str">
        <f t="shared" si="8"/>
        <v/>
      </c>
      <c r="L184" s="129" t="str">
        <f t="shared" si="9"/>
        <v/>
      </c>
      <c r="M184" s="129"/>
      <c r="N184" s="129"/>
      <c r="O184" s="137" t="e">
        <f>VLOOKUP($G184,工作量标准!$C:$E,3,0)</f>
        <v>#N/A</v>
      </c>
    </row>
    <row r="185" customHeight="1" spans="1:15">
      <c r="A185" s="146">
        <v>149</v>
      </c>
      <c r="B185" s="147"/>
      <c r="C185" s="147"/>
      <c r="D185" s="147"/>
      <c r="E185" s="129"/>
      <c r="F185" s="129"/>
      <c r="G185" s="129"/>
      <c r="H185" s="129"/>
      <c r="I185" s="129"/>
      <c r="J185" s="129" t="str">
        <f>IFERROR(VLOOKUP($G185,工作量标准!$C:$D,2,0)*IF(IFERROR(FIND("A级",$H185),0)&gt;0,1,IF(IFERROR(FIND("B级",$H185),0)&gt;0,3,IF(IFERROR(FIND("C级",$H185),0)&gt;0,5,IF(IFERROR(FIND("D级",$H185),0)&gt;0,8,1)))),"")</f>
        <v/>
      </c>
      <c r="K185" s="19" t="str">
        <f t="shared" si="8"/>
        <v/>
      </c>
      <c r="L185" s="129" t="str">
        <f t="shared" si="9"/>
        <v/>
      </c>
      <c r="M185" s="129"/>
      <c r="N185" s="129"/>
      <c r="O185" s="137" t="e">
        <f>VLOOKUP($G185,工作量标准!$C:$E,3,0)</f>
        <v>#N/A</v>
      </c>
    </row>
    <row r="186" customHeight="1" spans="1:15">
      <c r="A186" s="146">
        <v>150</v>
      </c>
      <c r="B186" s="147"/>
      <c r="C186" s="147"/>
      <c r="D186" s="147"/>
      <c r="E186" s="129"/>
      <c r="F186" s="129"/>
      <c r="G186" s="129"/>
      <c r="H186" s="129"/>
      <c r="I186" s="129"/>
      <c r="J186" s="129" t="str">
        <f>IFERROR(VLOOKUP($G186,工作量标准!$C:$D,2,0)*IF(IFERROR(FIND("A级",$H186),0)&gt;0,1,IF(IFERROR(FIND("B级",$H186),0)&gt;0,3,IF(IFERROR(FIND("C级",$H186),0)&gt;0,5,IF(IFERROR(FIND("D级",$H186),0)&gt;0,8,1)))),"")</f>
        <v/>
      </c>
      <c r="K186" s="19" t="str">
        <f t="shared" si="8"/>
        <v/>
      </c>
      <c r="L186" s="129" t="str">
        <f t="shared" si="9"/>
        <v/>
      </c>
      <c r="M186" s="129"/>
      <c r="N186" s="129"/>
      <c r="O186" s="137" t="e">
        <f>VLOOKUP($G186,工作量标准!$C:$E,3,0)</f>
        <v>#N/A</v>
      </c>
    </row>
    <row r="187" customHeight="1" spans="1:15">
      <c r="A187" s="146">
        <v>151</v>
      </c>
      <c r="B187" s="147"/>
      <c r="C187" s="147"/>
      <c r="D187" s="147"/>
      <c r="E187" s="129"/>
      <c r="F187" s="129"/>
      <c r="G187" s="129"/>
      <c r="H187" s="129"/>
      <c r="I187" s="129"/>
      <c r="J187" s="129" t="str">
        <f>IFERROR(VLOOKUP($G187,工作量标准!$C:$D,2,0)*IF(IFERROR(FIND("A级",$H187),0)&gt;0,1,IF(IFERROR(FIND("B级",$H187),0)&gt;0,3,IF(IFERROR(FIND("C级",$H187),0)&gt;0,5,IF(IFERROR(FIND("D级",$H187),0)&gt;0,8,1)))),"")</f>
        <v/>
      </c>
      <c r="K187" s="19" t="str">
        <f t="shared" si="8"/>
        <v/>
      </c>
      <c r="L187" s="129" t="str">
        <f t="shared" si="9"/>
        <v/>
      </c>
      <c r="M187" s="129"/>
      <c r="N187" s="129"/>
      <c r="O187" s="137" t="e">
        <f>VLOOKUP($G187,工作量标准!$C:$E,3,0)</f>
        <v>#N/A</v>
      </c>
    </row>
    <row r="188" customHeight="1" spans="1:15">
      <c r="A188" s="146">
        <v>152</v>
      </c>
      <c r="B188" s="147"/>
      <c r="C188" s="147"/>
      <c r="D188" s="147"/>
      <c r="E188" s="129"/>
      <c r="F188" s="129"/>
      <c r="G188" s="129"/>
      <c r="H188" s="129"/>
      <c r="I188" s="129"/>
      <c r="J188" s="129" t="str">
        <f>IFERROR(VLOOKUP($G188,工作量标准!$C:$D,2,0)*IF(IFERROR(FIND("A级",$H188),0)&gt;0,1,IF(IFERROR(FIND("B级",$H188),0)&gt;0,3,IF(IFERROR(FIND("C级",$H188),0)&gt;0,5,IF(IFERROR(FIND("D级",$H188),0)&gt;0,8,1)))),"")</f>
        <v/>
      </c>
      <c r="K188" s="19" t="str">
        <f t="shared" si="8"/>
        <v/>
      </c>
      <c r="L188" s="129" t="str">
        <f t="shared" si="9"/>
        <v/>
      </c>
      <c r="M188" s="129"/>
      <c r="N188" s="129"/>
      <c r="O188" s="137" t="e">
        <f>VLOOKUP($G188,工作量标准!$C:$E,3,0)</f>
        <v>#N/A</v>
      </c>
    </row>
    <row r="189" customHeight="1" spans="1:15">
      <c r="A189" s="146">
        <v>153</v>
      </c>
      <c r="B189" s="147"/>
      <c r="C189" s="147"/>
      <c r="D189" s="147"/>
      <c r="E189" s="129"/>
      <c r="F189" s="129"/>
      <c r="G189" s="129"/>
      <c r="H189" s="129"/>
      <c r="I189" s="129"/>
      <c r="J189" s="129" t="str">
        <f>IFERROR(VLOOKUP($G189,工作量标准!$C:$D,2,0)*IF(IFERROR(FIND("A级",$H189),0)&gt;0,1,IF(IFERROR(FIND("B级",$H189),0)&gt;0,3,IF(IFERROR(FIND("C级",$H189),0)&gt;0,5,IF(IFERROR(FIND("D级",$H189),0)&gt;0,8,1)))),"")</f>
        <v/>
      </c>
      <c r="K189" s="19" t="str">
        <f t="shared" si="8"/>
        <v/>
      </c>
      <c r="L189" s="129" t="str">
        <f t="shared" si="9"/>
        <v/>
      </c>
      <c r="M189" s="129"/>
      <c r="N189" s="129"/>
      <c r="O189" s="137" t="e">
        <f>VLOOKUP($G189,工作量标准!$C:$E,3,0)</f>
        <v>#N/A</v>
      </c>
    </row>
    <row r="190" customHeight="1" spans="1:15">
      <c r="A190" s="146">
        <v>154</v>
      </c>
      <c r="B190" s="147"/>
      <c r="C190" s="147"/>
      <c r="D190" s="147"/>
      <c r="E190" s="129"/>
      <c r="F190" s="129"/>
      <c r="G190" s="129"/>
      <c r="H190" s="129"/>
      <c r="I190" s="129"/>
      <c r="J190" s="129" t="str">
        <f>IFERROR(VLOOKUP($G190,工作量标准!$C:$D,2,0)*IF(IFERROR(FIND("A级",$H190),0)&gt;0,1,IF(IFERROR(FIND("B级",$H190),0)&gt;0,3,IF(IFERROR(FIND("C级",$H190),0)&gt;0,5,IF(IFERROR(FIND("D级",$H190),0)&gt;0,8,1)))),"")</f>
        <v/>
      </c>
      <c r="K190" s="19" t="str">
        <f t="shared" si="8"/>
        <v/>
      </c>
      <c r="L190" s="129" t="str">
        <f t="shared" si="9"/>
        <v/>
      </c>
      <c r="M190" s="129"/>
      <c r="N190" s="129"/>
      <c r="O190" s="137" t="e">
        <f>VLOOKUP($G190,工作量标准!$C:$E,3,0)</f>
        <v>#N/A</v>
      </c>
    </row>
    <row r="191" customHeight="1" spans="1:15">
      <c r="A191" s="146">
        <v>155</v>
      </c>
      <c r="B191" s="147"/>
      <c r="C191" s="147"/>
      <c r="D191" s="147"/>
      <c r="E191" s="129"/>
      <c r="F191" s="129"/>
      <c r="G191" s="129"/>
      <c r="H191" s="129"/>
      <c r="I191" s="129"/>
      <c r="J191" s="129" t="str">
        <f>IFERROR(VLOOKUP($G191,工作量标准!$C:$D,2,0)*IF(IFERROR(FIND("A级",$H191),0)&gt;0,1,IF(IFERROR(FIND("B级",$H191),0)&gt;0,3,IF(IFERROR(FIND("C级",$H191),0)&gt;0,5,IF(IFERROR(FIND("D级",$H191),0)&gt;0,8,1)))),"")</f>
        <v/>
      </c>
      <c r="K191" s="19" t="str">
        <f t="shared" si="8"/>
        <v/>
      </c>
      <c r="L191" s="129" t="str">
        <f t="shared" si="9"/>
        <v/>
      </c>
      <c r="M191" s="129"/>
      <c r="N191" s="129"/>
      <c r="O191" s="137" t="e">
        <f>VLOOKUP($G191,工作量标准!$C:$E,3,0)</f>
        <v>#N/A</v>
      </c>
    </row>
    <row r="192" customHeight="1" spans="1:15">
      <c r="A192" s="146">
        <v>156</v>
      </c>
      <c r="B192" s="147"/>
      <c r="C192" s="147"/>
      <c r="D192" s="147"/>
      <c r="E192" s="129"/>
      <c r="F192" s="129"/>
      <c r="G192" s="129"/>
      <c r="H192" s="129"/>
      <c r="I192" s="129"/>
      <c r="J192" s="129" t="str">
        <f>IFERROR(VLOOKUP($G192,工作量标准!$C:$D,2,0)*IF(IFERROR(FIND("A级",$H192),0)&gt;0,1,IF(IFERROR(FIND("B级",$H192),0)&gt;0,3,IF(IFERROR(FIND("C级",$H192),0)&gt;0,5,IF(IFERROR(FIND("D级",$H192),0)&gt;0,8,1)))),"")</f>
        <v/>
      </c>
      <c r="K192" s="19" t="str">
        <f t="shared" si="8"/>
        <v/>
      </c>
      <c r="L192" s="129" t="str">
        <f t="shared" si="9"/>
        <v/>
      </c>
      <c r="M192" s="129"/>
      <c r="N192" s="129"/>
      <c r="O192" s="137" t="e">
        <f>VLOOKUP($G192,工作量标准!$C:$E,3,0)</f>
        <v>#N/A</v>
      </c>
    </row>
    <row r="193" customHeight="1" spans="1:15">
      <c r="A193" s="146">
        <v>157</v>
      </c>
      <c r="B193" s="147"/>
      <c r="C193" s="147"/>
      <c r="D193" s="147"/>
      <c r="E193" s="129"/>
      <c r="F193" s="129"/>
      <c r="G193" s="129"/>
      <c r="H193" s="129"/>
      <c r="I193" s="129"/>
      <c r="J193" s="129" t="str">
        <f>IFERROR(VLOOKUP($G193,工作量标准!$C:$D,2,0)*IF(IFERROR(FIND("A级",$H193),0)&gt;0,1,IF(IFERROR(FIND("B级",$H193),0)&gt;0,3,IF(IFERROR(FIND("C级",$H193),0)&gt;0,5,IF(IFERROR(FIND("D级",$H193),0)&gt;0,8,1)))),"")</f>
        <v/>
      </c>
      <c r="K193" s="19" t="str">
        <f t="shared" si="8"/>
        <v/>
      </c>
      <c r="L193" s="129" t="str">
        <f t="shared" si="9"/>
        <v/>
      </c>
      <c r="M193" s="129"/>
      <c r="N193" s="129"/>
      <c r="O193" s="137" t="e">
        <f>VLOOKUP($G193,工作量标准!$C:$E,3,0)</f>
        <v>#N/A</v>
      </c>
    </row>
    <row r="194" customHeight="1" spans="1:15">
      <c r="A194" s="146">
        <v>158</v>
      </c>
      <c r="B194" s="147"/>
      <c r="C194" s="147"/>
      <c r="D194" s="147"/>
      <c r="E194" s="129"/>
      <c r="F194" s="129"/>
      <c r="G194" s="129"/>
      <c r="H194" s="129"/>
      <c r="I194" s="129"/>
      <c r="J194" s="129" t="str">
        <f>IFERROR(VLOOKUP($G194,工作量标准!$C:$D,2,0)*IF(IFERROR(FIND("A级",$H194),0)&gt;0,1,IF(IFERROR(FIND("B级",$H194),0)&gt;0,3,IF(IFERROR(FIND("C级",$H194),0)&gt;0,5,IF(IFERROR(FIND("D级",$H194),0)&gt;0,8,1)))),"")</f>
        <v/>
      </c>
      <c r="K194" s="19" t="str">
        <f t="shared" si="8"/>
        <v/>
      </c>
      <c r="L194" s="129" t="str">
        <f t="shared" si="9"/>
        <v/>
      </c>
      <c r="M194" s="129"/>
      <c r="N194" s="129"/>
      <c r="O194" s="137" t="e">
        <f>VLOOKUP($G194,工作量标准!$C:$E,3,0)</f>
        <v>#N/A</v>
      </c>
    </row>
    <row r="195" customHeight="1" spans="1:15">
      <c r="A195" s="146">
        <v>159</v>
      </c>
      <c r="B195" s="147"/>
      <c r="C195" s="147"/>
      <c r="D195" s="147"/>
      <c r="E195" s="129"/>
      <c r="F195" s="129"/>
      <c r="G195" s="129"/>
      <c r="H195" s="129"/>
      <c r="I195" s="129"/>
      <c r="J195" s="129" t="str">
        <f>IFERROR(VLOOKUP($G195,工作量标准!$C:$D,2,0)*IF(IFERROR(FIND("A级",$H195),0)&gt;0,1,IF(IFERROR(FIND("B级",$H195),0)&gt;0,3,IF(IFERROR(FIND("C级",$H195),0)&gt;0,5,IF(IFERROR(FIND("D级",$H195),0)&gt;0,8,1)))),"")</f>
        <v/>
      </c>
      <c r="K195" s="19" t="str">
        <f t="shared" si="8"/>
        <v/>
      </c>
      <c r="L195" s="129" t="str">
        <f t="shared" si="9"/>
        <v/>
      </c>
      <c r="M195" s="129"/>
      <c r="N195" s="129"/>
      <c r="O195" s="137" t="e">
        <f>VLOOKUP($G195,工作量标准!$C:$E,3,0)</f>
        <v>#N/A</v>
      </c>
    </row>
    <row r="196" customHeight="1" spans="1:15">
      <c r="A196" s="146">
        <v>160</v>
      </c>
      <c r="B196" s="147"/>
      <c r="C196" s="147"/>
      <c r="D196" s="147"/>
      <c r="E196" s="129"/>
      <c r="F196" s="129"/>
      <c r="G196" s="129"/>
      <c r="H196" s="129"/>
      <c r="I196" s="129"/>
      <c r="J196" s="129" t="str">
        <f>IFERROR(VLOOKUP($G196,工作量标准!$C:$D,2,0)*IF(IFERROR(FIND("A级",$H196),0)&gt;0,1,IF(IFERROR(FIND("B级",$H196),0)&gt;0,3,IF(IFERROR(FIND("C级",$H196),0)&gt;0,5,IF(IFERROR(FIND("D级",$H196),0)&gt;0,8,1)))),"")</f>
        <v/>
      </c>
      <c r="K196" s="19" t="str">
        <f t="shared" si="8"/>
        <v/>
      </c>
      <c r="L196" s="129" t="str">
        <f t="shared" si="9"/>
        <v/>
      </c>
      <c r="M196" s="129"/>
      <c r="N196" s="129"/>
      <c r="O196" s="137" t="e">
        <f>VLOOKUP($G196,工作量标准!$C:$E,3,0)</f>
        <v>#N/A</v>
      </c>
    </row>
    <row r="197" customHeight="1" spans="1:15">
      <c r="A197" s="146">
        <v>161</v>
      </c>
      <c r="B197" s="147"/>
      <c r="C197" s="147"/>
      <c r="D197" s="147"/>
      <c r="E197" s="129"/>
      <c r="F197" s="129"/>
      <c r="G197" s="129"/>
      <c r="H197" s="129"/>
      <c r="I197" s="129"/>
      <c r="J197" s="129" t="str">
        <f>IFERROR(VLOOKUP($G197,工作量标准!$C:$D,2,0)*IF(IFERROR(FIND("A级",$H197),0)&gt;0,1,IF(IFERROR(FIND("B级",$H197),0)&gt;0,3,IF(IFERROR(FIND("C级",$H197),0)&gt;0,5,IF(IFERROR(FIND("D级",$H197),0)&gt;0,8,1)))),"")</f>
        <v/>
      </c>
      <c r="K197" s="19" t="str">
        <f t="shared" si="8"/>
        <v/>
      </c>
      <c r="L197" s="129" t="str">
        <f t="shared" si="9"/>
        <v/>
      </c>
      <c r="M197" s="129"/>
      <c r="N197" s="129"/>
      <c r="O197" s="137" t="e">
        <f>VLOOKUP($G197,工作量标准!$C:$E,3,0)</f>
        <v>#N/A</v>
      </c>
    </row>
    <row r="198" customHeight="1" spans="1:15">
      <c r="A198" s="146">
        <v>162</v>
      </c>
      <c r="B198" s="147"/>
      <c r="C198" s="147"/>
      <c r="D198" s="147"/>
      <c r="E198" s="129"/>
      <c r="F198" s="129"/>
      <c r="G198" s="129"/>
      <c r="H198" s="129"/>
      <c r="I198" s="129"/>
      <c r="J198" s="129" t="str">
        <f>IFERROR(VLOOKUP($G198,工作量标准!$C:$D,2,0)*IF(IFERROR(FIND("A级",$H198),0)&gt;0,1,IF(IFERROR(FIND("B级",$H198),0)&gt;0,3,IF(IFERROR(FIND("C级",$H198),0)&gt;0,5,IF(IFERROR(FIND("D级",$H198),0)&gt;0,8,1)))),"")</f>
        <v/>
      </c>
      <c r="K198" s="19" t="str">
        <f t="shared" si="8"/>
        <v/>
      </c>
      <c r="L198" s="129" t="str">
        <f t="shared" si="9"/>
        <v/>
      </c>
      <c r="M198" s="129"/>
      <c r="N198" s="129"/>
      <c r="O198" s="137" t="e">
        <f>VLOOKUP($G198,工作量标准!$C:$E,3,0)</f>
        <v>#N/A</v>
      </c>
    </row>
    <row r="199" customHeight="1" spans="1:15">
      <c r="A199" s="146">
        <v>163</v>
      </c>
      <c r="B199" s="147"/>
      <c r="C199" s="147"/>
      <c r="D199" s="147"/>
      <c r="E199" s="129"/>
      <c r="F199" s="129"/>
      <c r="G199" s="129"/>
      <c r="H199" s="129"/>
      <c r="I199" s="129"/>
      <c r="J199" s="129" t="str">
        <f>IFERROR(VLOOKUP($G199,工作量标准!$C:$D,2,0)*IF(IFERROR(FIND("A级",$H199),0)&gt;0,1,IF(IFERROR(FIND("B级",$H199),0)&gt;0,3,IF(IFERROR(FIND("C级",$H199),0)&gt;0,5,IF(IFERROR(FIND("D级",$H199),0)&gt;0,8,1)))),"")</f>
        <v/>
      </c>
      <c r="K199" s="19" t="str">
        <f t="shared" si="8"/>
        <v/>
      </c>
      <c r="L199" s="129" t="str">
        <f t="shared" si="9"/>
        <v/>
      </c>
      <c r="M199" s="129"/>
      <c r="N199" s="129"/>
      <c r="O199" s="137" t="e">
        <f>VLOOKUP($G199,工作量标准!$C:$E,3,0)</f>
        <v>#N/A</v>
      </c>
    </row>
    <row r="200" customHeight="1" spans="1:15">
      <c r="A200" s="146">
        <v>164</v>
      </c>
      <c r="B200" s="147"/>
      <c r="C200" s="147"/>
      <c r="D200" s="147"/>
      <c r="E200" s="129"/>
      <c r="F200" s="129"/>
      <c r="G200" s="129"/>
      <c r="H200" s="129"/>
      <c r="I200" s="129"/>
      <c r="J200" s="129" t="str">
        <f>IFERROR(VLOOKUP($G200,工作量标准!$C:$D,2,0)*IF(IFERROR(FIND("A级",$H200),0)&gt;0,1,IF(IFERROR(FIND("B级",$H200),0)&gt;0,3,IF(IFERROR(FIND("C级",$H200),0)&gt;0,5,IF(IFERROR(FIND("D级",$H200),0)&gt;0,8,1)))),"")</f>
        <v/>
      </c>
      <c r="K200" s="19" t="str">
        <f t="shared" si="8"/>
        <v/>
      </c>
      <c r="L200" s="129" t="str">
        <f t="shared" si="9"/>
        <v/>
      </c>
      <c r="M200" s="129"/>
      <c r="N200" s="129"/>
      <c r="O200" s="137" t="e">
        <f>VLOOKUP($G200,工作量标准!$C:$E,3,0)</f>
        <v>#N/A</v>
      </c>
    </row>
    <row r="201" customHeight="1" spans="1:15">
      <c r="A201" s="146">
        <v>165</v>
      </c>
      <c r="B201" s="147"/>
      <c r="C201" s="147"/>
      <c r="D201" s="147"/>
      <c r="E201" s="129"/>
      <c r="F201" s="129"/>
      <c r="G201" s="129"/>
      <c r="H201" s="129"/>
      <c r="I201" s="129"/>
      <c r="J201" s="129" t="str">
        <f>IFERROR(VLOOKUP($G201,工作量标准!$C:$D,2,0)*IF(IFERROR(FIND("A级",$H201),0)&gt;0,1,IF(IFERROR(FIND("B级",$H201),0)&gt;0,3,IF(IFERROR(FIND("C级",$H201),0)&gt;0,5,IF(IFERROR(FIND("D级",$H201),0)&gt;0,8,1)))),"")</f>
        <v/>
      </c>
      <c r="K201" s="19" t="str">
        <f t="shared" si="8"/>
        <v/>
      </c>
      <c r="L201" s="129" t="str">
        <f t="shared" si="9"/>
        <v/>
      </c>
      <c r="M201" s="129"/>
      <c r="N201" s="129"/>
      <c r="O201" s="137" t="e">
        <f>VLOOKUP($G201,工作量标准!$C:$E,3,0)</f>
        <v>#N/A</v>
      </c>
    </row>
    <row r="202" customHeight="1" spans="1:15">
      <c r="A202" s="146">
        <v>166</v>
      </c>
      <c r="B202" s="147"/>
      <c r="C202" s="147"/>
      <c r="D202" s="147"/>
      <c r="E202" s="129"/>
      <c r="F202" s="129"/>
      <c r="G202" s="129"/>
      <c r="H202" s="129"/>
      <c r="I202" s="129"/>
      <c r="J202" s="129" t="str">
        <f>IFERROR(VLOOKUP($G202,工作量标准!$C:$D,2,0)*IF(IFERROR(FIND("A级",$H202),0)&gt;0,1,IF(IFERROR(FIND("B级",$H202),0)&gt;0,3,IF(IFERROR(FIND("C级",$H202),0)&gt;0,5,IF(IFERROR(FIND("D级",$H202),0)&gt;0,8,1)))),"")</f>
        <v/>
      </c>
      <c r="K202" s="19" t="str">
        <f t="shared" si="8"/>
        <v/>
      </c>
      <c r="L202" s="129" t="str">
        <f t="shared" si="9"/>
        <v/>
      </c>
      <c r="M202" s="129"/>
      <c r="N202" s="129"/>
      <c r="O202" s="137" t="e">
        <f>VLOOKUP($G202,工作量标准!$C:$E,3,0)</f>
        <v>#N/A</v>
      </c>
    </row>
    <row r="203" customHeight="1" spans="1:15">
      <c r="A203" s="146">
        <v>167</v>
      </c>
      <c r="B203" s="147"/>
      <c r="C203" s="147"/>
      <c r="D203" s="147"/>
      <c r="E203" s="129"/>
      <c r="F203" s="129"/>
      <c r="G203" s="129"/>
      <c r="H203" s="129"/>
      <c r="I203" s="129"/>
      <c r="J203" s="129" t="str">
        <f>IFERROR(VLOOKUP($G203,工作量标准!$C:$D,2,0)*IF(IFERROR(FIND("A级",$H203),0)&gt;0,1,IF(IFERROR(FIND("B级",$H203),0)&gt;0,3,IF(IFERROR(FIND("C级",$H203),0)&gt;0,5,IF(IFERROR(FIND("D级",$H203),0)&gt;0,8,1)))),"")</f>
        <v/>
      </c>
      <c r="K203" s="19" t="str">
        <f t="shared" si="8"/>
        <v/>
      </c>
      <c r="L203" s="129" t="str">
        <f t="shared" si="9"/>
        <v/>
      </c>
      <c r="M203" s="129"/>
      <c r="N203" s="129"/>
      <c r="O203" s="137" t="e">
        <f>VLOOKUP($G203,工作量标准!$C:$E,3,0)</f>
        <v>#N/A</v>
      </c>
    </row>
    <row r="204" customHeight="1" spans="1:15">
      <c r="A204" s="146">
        <v>168</v>
      </c>
      <c r="B204" s="147"/>
      <c r="C204" s="147"/>
      <c r="D204" s="147"/>
      <c r="E204" s="129"/>
      <c r="F204" s="129"/>
      <c r="G204" s="129"/>
      <c r="H204" s="129"/>
      <c r="I204" s="129"/>
      <c r="J204" s="129" t="str">
        <f>IFERROR(VLOOKUP($G204,工作量标准!$C:$D,2,0)*IF(IFERROR(FIND("A级",$H204),0)&gt;0,1,IF(IFERROR(FIND("B级",$H204),0)&gt;0,3,IF(IFERROR(FIND("C级",$H204),0)&gt;0,5,IF(IFERROR(FIND("D级",$H204),0)&gt;0,8,1)))),"")</f>
        <v/>
      </c>
      <c r="K204" s="19" t="str">
        <f t="shared" si="8"/>
        <v/>
      </c>
      <c r="L204" s="129" t="str">
        <f t="shared" si="9"/>
        <v/>
      </c>
      <c r="M204" s="129"/>
      <c r="N204" s="129"/>
      <c r="O204" s="137" t="e">
        <f>VLOOKUP($G204,工作量标准!$C:$E,3,0)</f>
        <v>#N/A</v>
      </c>
    </row>
    <row r="205" customHeight="1" spans="1:15">
      <c r="A205" s="146">
        <v>169</v>
      </c>
      <c r="B205" s="147"/>
      <c r="C205" s="147"/>
      <c r="D205" s="147"/>
      <c r="E205" s="129"/>
      <c r="F205" s="129"/>
      <c r="G205" s="129"/>
      <c r="H205" s="129"/>
      <c r="I205" s="129"/>
      <c r="J205" s="129" t="str">
        <f>IFERROR(VLOOKUP($G205,工作量标准!$C:$D,2,0)*IF(IFERROR(FIND("A级",$H205),0)&gt;0,1,IF(IFERROR(FIND("B级",$H205),0)&gt;0,3,IF(IFERROR(FIND("C级",$H205),0)&gt;0,5,IF(IFERROR(FIND("D级",$H205),0)&gt;0,8,1)))),"")</f>
        <v/>
      </c>
      <c r="K205" s="19" t="str">
        <f t="shared" si="8"/>
        <v/>
      </c>
      <c r="L205" s="129" t="str">
        <f t="shared" si="9"/>
        <v/>
      </c>
      <c r="M205" s="129"/>
      <c r="N205" s="129"/>
      <c r="O205" s="137" t="e">
        <f>VLOOKUP($G205,工作量标准!$C:$E,3,0)</f>
        <v>#N/A</v>
      </c>
    </row>
    <row r="206" customHeight="1" spans="1:15">
      <c r="A206" s="146">
        <v>170</v>
      </c>
      <c r="B206" s="147"/>
      <c r="C206" s="147"/>
      <c r="D206" s="147"/>
      <c r="E206" s="129"/>
      <c r="F206" s="129"/>
      <c r="G206" s="129"/>
      <c r="H206" s="129"/>
      <c r="I206" s="129"/>
      <c r="J206" s="129" t="str">
        <f>IFERROR(VLOOKUP($G206,工作量标准!$C:$D,2,0)*IF(IFERROR(FIND("A级",$H206),0)&gt;0,1,IF(IFERROR(FIND("B级",$H206),0)&gt;0,3,IF(IFERROR(FIND("C级",$H206),0)&gt;0,5,IF(IFERROR(FIND("D级",$H206),0)&gt;0,8,1)))),"")</f>
        <v/>
      </c>
      <c r="K206" s="19" t="str">
        <f t="shared" si="8"/>
        <v/>
      </c>
      <c r="L206" s="129" t="str">
        <f t="shared" si="9"/>
        <v/>
      </c>
      <c r="M206" s="129"/>
      <c r="N206" s="129"/>
      <c r="O206" s="137" t="e">
        <f>VLOOKUP($G206,工作量标准!$C:$E,3,0)</f>
        <v>#N/A</v>
      </c>
    </row>
    <row r="207" customHeight="1" spans="1:15">
      <c r="A207" s="146">
        <v>171</v>
      </c>
      <c r="B207" s="147"/>
      <c r="C207" s="147"/>
      <c r="D207" s="147"/>
      <c r="E207" s="129"/>
      <c r="F207" s="129"/>
      <c r="G207" s="129"/>
      <c r="H207" s="129"/>
      <c r="I207" s="129"/>
      <c r="J207" s="129" t="str">
        <f>IFERROR(VLOOKUP($G207,工作量标准!$C:$D,2,0)*IF(IFERROR(FIND("A级",$H207),0)&gt;0,1,IF(IFERROR(FIND("B级",$H207),0)&gt;0,3,IF(IFERROR(FIND("C级",$H207),0)&gt;0,5,IF(IFERROR(FIND("D级",$H207),0)&gt;0,8,1)))),"")</f>
        <v/>
      </c>
      <c r="K207" s="19" t="str">
        <f t="shared" si="8"/>
        <v/>
      </c>
      <c r="L207" s="129" t="str">
        <f t="shared" si="9"/>
        <v/>
      </c>
      <c r="M207" s="129"/>
      <c r="N207" s="129"/>
      <c r="O207" s="137" t="e">
        <f>VLOOKUP($G207,工作量标准!$C:$E,3,0)</f>
        <v>#N/A</v>
      </c>
    </row>
    <row r="208" customHeight="1" spans="1:15">
      <c r="A208" s="146">
        <v>172</v>
      </c>
      <c r="B208" s="147"/>
      <c r="C208" s="147"/>
      <c r="D208" s="147"/>
      <c r="E208" s="129"/>
      <c r="F208" s="129"/>
      <c r="G208" s="129"/>
      <c r="H208" s="129"/>
      <c r="I208" s="129"/>
      <c r="J208" s="129" t="str">
        <f>IFERROR(VLOOKUP($G208,工作量标准!$C:$D,2,0)*IF(IFERROR(FIND("A级",$H208),0)&gt;0,1,IF(IFERROR(FIND("B级",$H208),0)&gt;0,3,IF(IFERROR(FIND("C级",$H208),0)&gt;0,5,IF(IFERROR(FIND("D级",$H208),0)&gt;0,8,1)))),"")</f>
        <v/>
      </c>
      <c r="K208" s="19" t="str">
        <f t="shared" si="8"/>
        <v/>
      </c>
      <c r="L208" s="129" t="str">
        <f t="shared" si="9"/>
        <v/>
      </c>
      <c r="M208" s="129"/>
      <c r="N208" s="129"/>
      <c r="O208" s="137" t="e">
        <f>VLOOKUP($G208,工作量标准!$C:$E,3,0)</f>
        <v>#N/A</v>
      </c>
    </row>
    <row r="209" customHeight="1" spans="1:15">
      <c r="A209" s="146">
        <v>173</v>
      </c>
      <c r="B209" s="147"/>
      <c r="C209" s="147"/>
      <c r="D209" s="147"/>
      <c r="E209" s="129"/>
      <c r="F209" s="129"/>
      <c r="G209" s="129"/>
      <c r="H209" s="129"/>
      <c r="I209" s="129"/>
      <c r="J209" s="129" t="str">
        <f>IFERROR(VLOOKUP($G209,工作量标准!$C:$D,2,0)*IF(IFERROR(FIND("A级",$H209),0)&gt;0,1,IF(IFERROR(FIND("B级",$H209),0)&gt;0,3,IF(IFERROR(FIND("C级",$H209),0)&gt;0,5,IF(IFERROR(FIND("D级",$H209),0)&gt;0,8,1)))),"")</f>
        <v/>
      </c>
      <c r="K209" s="19" t="str">
        <f t="shared" si="8"/>
        <v/>
      </c>
      <c r="L209" s="129" t="str">
        <f t="shared" si="9"/>
        <v/>
      </c>
      <c r="M209" s="129"/>
      <c r="N209" s="129"/>
      <c r="O209" s="137" t="e">
        <f>VLOOKUP($G209,工作量标准!$C:$E,3,0)</f>
        <v>#N/A</v>
      </c>
    </row>
    <row r="210" customHeight="1" spans="1:15">
      <c r="A210" s="146">
        <v>174</v>
      </c>
      <c r="B210" s="147"/>
      <c r="C210" s="147"/>
      <c r="D210" s="147"/>
      <c r="E210" s="129"/>
      <c r="F210" s="129"/>
      <c r="G210" s="129"/>
      <c r="H210" s="129"/>
      <c r="I210" s="129"/>
      <c r="J210" s="129" t="str">
        <f>IFERROR(VLOOKUP($G210,工作量标准!$C:$D,2,0)*IF(IFERROR(FIND("A级",$H210),0)&gt;0,1,IF(IFERROR(FIND("B级",$H210),0)&gt;0,3,IF(IFERROR(FIND("C级",$H210),0)&gt;0,5,IF(IFERROR(FIND("D级",$H210),0)&gt;0,8,1)))),"")</f>
        <v/>
      </c>
      <c r="K210" s="19" t="str">
        <f t="shared" si="8"/>
        <v/>
      </c>
      <c r="L210" s="129" t="str">
        <f t="shared" si="9"/>
        <v/>
      </c>
      <c r="M210" s="129"/>
      <c r="N210" s="129"/>
      <c r="O210" s="137" t="e">
        <f>VLOOKUP($G210,工作量标准!$C:$E,3,0)</f>
        <v>#N/A</v>
      </c>
    </row>
    <row r="211" customHeight="1" spans="1:15">
      <c r="A211" s="146">
        <v>175</v>
      </c>
      <c r="B211" s="147"/>
      <c r="C211" s="147"/>
      <c r="D211" s="147"/>
      <c r="E211" s="129"/>
      <c r="F211" s="129"/>
      <c r="G211" s="129"/>
      <c r="H211" s="129"/>
      <c r="I211" s="129"/>
      <c r="J211" s="129" t="str">
        <f>IFERROR(VLOOKUP($G211,工作量标准!$C:$D,2,0)*IF(IFERROR(FIND("A级",$H211),0)&gt;0,1,IF(IFERROR(FIND("B级",$H211),0)&gt;0,3,IF(IFERROR(FIND("C级",$H211),0)&gt;0,5,IF(IFERROR(FIND("D级",$H211),0)&gt;0,8,1)))),"")</f>
        <v/>
      </c>
      <c r="K211" s="19" t="str">
        <f t="shared" si="8"/>
        <v/>
      </c>
      <c r="L211" s="129" t="str">
        <f t="shared" si="9"/>
        <v/>
      </c>
      <c r="M211" s="129"/>
      <c r="N211" s="129"/>
      <c r="O211" s="137" t="e">
        <f>VLOOKUP($G211,工作量标准!$C:$E,3,0)</f>
        <v>#N/A</v>
      </c>
    </row>
    <row r="212" customHeight="1" spans="1:15">
      <c r="A212" s="146">
        <v>176</v>
      </c>
      <c r="B212" s="147"/>
      <c r="C212" s="147"/>
      <c r="D212" s="147"/>
      <c r="E212" s="129"/>
      <c r="F212" s="129"/>
      <c r="G212" s="129"/>
      <c r="H212" s="129"/>
      <c r="I212" s="129"/>
      <c r="J212" s="129" t="str">
        <f>IFERROR(VLOOKUP($G212,工作量标准!$C:$D,2,0)*IF(IFERROR(FIND("A级",$H212),0)&gt;0,1,IF(IFERROR(FIND("B级",$H212),0)&gt;0,3,IF(IFERROR(FIND("C级",$H212),0)&gt;0,5,IF(IFERROR(FIND("D级",$H212),0)&gt;0,8,1)))),"")</f>
        <v/>
      </c>
      <c r="K212" s="19" t="str">
        <f t="shared" si="8"/>
        <v/>
      </c>
      <c r="L212" s="129" t="str">
        <f t="shared" si="9"/>
        <v/>
      </c>
      <c r="M212" s="129"/>
      <c r="N212" s="129"/>
      <c r="O212" s="137" t="e">
        <f>VLOOKUP($G212,工作量标准!$C:$E,3,0)</f>
        <v>#N/A</v>
      </c>
    </row>
    <row r="213" customHeight="1" spans="1:15">
      <c r="A213" s="146">
        <v>177</v>
      </c>
      <c r="B213" s="147"/>
      <c r="C213" s="147"/>
      <c r="D213" s="147"/>
      <c r="E213" s="129"/>
      <c r="F213" s="129"/>
      <c r="G213" s="129"/>
      <c r="H213" s="129"/>
      <c r="I213" s="129"/>
      <c r="J213" s="129" t="str">
        <f>IFERROR(VLOOKUP($G213,工作量标准!$C:$D,2,0)*IF(IFERROR(FIND("A级",$H213),0)&gt;0,1,IF(IFERROR(FIND("B级",$H213),0)&gt;0,3,IF(IFERROR(FIND("C级",$H213),0)&gt;0,5,IF(IFERROR(FIND("D级",$H213),0)&gt;0,8,1)))),"")</f>
        <v/>
      </c>
      <c r="K213" s="19" t="str">
        <f t="shared" si="8"/>
        <v/>
      </c>
      <c r="L213" s="129" t="str">
        <f t="shared" si="9"/>
        <v/>
      </c>
      <c r="M213" s="129"/>
      <c r="N213" s="129"/>
      <c r="O213" s="137" t="e">
        <f>VLOOKUP($G213,工作量标准!$C:$E,3,0)</f>
        <v>#N/A</v>
      </c>
    </row>
    <row r="214" customHeight="1" spans="1:15">
      <c r="A214" s="146">
        <v>178</v>
      </c>
      <c r="B214" s="147"/>
      <c r="C214" s="147"/>
      <c r="D214" s="147"/>
      <c r="E214" s="129"/>
      <c r="F214" s="129"/>
      <c r="G214" s="129"/>
      <c r="H214" s="129"/>
      <c r="I214" s="129"/>
      <c r="J214" s="129" t="str">
        <f>IFERROR(VLOOKUP($G214,工作量标准!$C:$D,2,0)*IF(IFERROR(FIND("A级",$H214),0)&gt;0,1,IF(IFERROR(FIND("B级",$H214),0)&gt;0,3,IF(IFERROR(FIND("C级",$H214),0)&gt;0,5,IF(IFERROR(FIND("D级",$H214),0)&gt;0,8,1)))),"")</f>
        <v/>
      </c>
      <c r="K214" s="19" t="str">
        <f t="shared" si="8"/>
        <v/>
      </c>
      <c r="L214" s="129" t="str">
        <f t="shared" si="9"/>
        <v/>
      </c>
      <c r="M214" s="129"/>
      <c r="N214" s="129"/>
      <c r="O214" s="137" t="e">
        <f>VLOOKUP($G214,工作量标准!$C:$E,3,0)</f>
        <v>#N/A</v>
      </c>
    </row>
    <row r="215" customHeight="1" spans="1:15">
      <c r="A215" s="146">
        <v>179</v>
      </c>
      <c r="B215" s="147"/>
      <c r="C215" s="147"/>
      <c r="D215" s="147"/>
      <c r="E215" s="129"/>
      <c r="F215" s="129"/>
      <c r="G215" s="129"/>
      <c r="H215" s="129"/>
      <c r="I215" s="129"/>
      <c r="J215" s="129" t="str">
        <f>IFERROR(VLOOKUP($G215,工作量标准!$C:$D,2,0)*IF(IFERROR(FIND("A级",$H215),0)&gt;0,1,IF(IFERROR(FIND("B级",$H215),0)&gt;0,3,IF(IFERROR(FIND("C级",$H215),0)&gt;0,5,IF(IFERROR(FIND("D级",$H215),0)&gt;0,8,1)))),"")</f>
        <v/>
      </c>
      <c r="K215" s="19" t="str">
        <f t="shared" si="8"/>
        <v/>
      </c>
      <c r="L215" s="129" t="str">
        <f t="shared" si="9"/>
        <v/>
      </c>
      <c r="M215" s="129"/>
      <c r="N215" s="129"/>
      <c r="O215" s="137" t="e">
        <f>VLOOKUP($G215,工作量标准!$C:$E,3,0)</f>
        <v>#N/A</v>
      </c>
    </row>
    <row r="216" customHeight="1" spans="1:15">
      <c r="A216" s="146">
        <v>180</v>
      </c>
      <c r="B216" s="147"/>
      <c r="C216" s="147"/>
      <c r="D216" s="147"/>
      <c r="E216" s="129"/>
      <c r="F216" s="129"/>
      <c r="G216" s="129"/>
      <c r="H216" s="129"/>
      <c r="I216" s="129"/>
      <c r="J216" s="129" t="str">
        <f>IFERROR(VLOOKUP($G216,工作量标准!$C:$D,2,0)*IF(IFERROR(FIND("A级",$H216),0)&gt;0,1,IF(IFERROR(FIND("B级",$H216),0)&gt;0,3,IF(IFERROR(FIND("C级",$H216),0)&gt;0,5,IF(IFERROR(FIND("D级",$H216),0)&gt;0,8,1)))),"")</f>
        <v/>
      </c>
      <c r="K216" s="19" t="str">
        <f t="shared" si="8"/>
        <v/>
      </c>
      <c r="L216" s="129" t="str">
        <f t="shared" si="9"/>
        <v/>
      </c>
      <c r="M216" s="129"/>
      <c r="N216" s="129"/>
      <c r="O216" s="137" t="e">
        <f>VLOOKUP($G216,工作量标准!$C:$E,3,0)</f>
        <v>#N/A</v>
      </c>
    </row>
    <row r="217" customHeight="1" spans="1:15">
      <c r="A217" s="146">
        <v>181</v>
      </c>
      <c r="B217" s="147"/>
      <c r="C217" s="147"/>
      <c r="D217" s="147"/>
      <c r="E217" s="129"/>
      <c r="F217" s="129"/>
      <c r="G217" s="129"/>
      <c r="H217" s="129"/>
      <c r="I217" s="129"/>
      <c r="J217" s="129" t="str">
        <f>IFERROR(VLOOKUP($G217,工作量标准!$C:$D,2,0)*IF(IFERROR(FIND("A级",$H217),0)&gt;0,1,IF(IFERROR(FIND("B级",$H217),0)&gt;0,3,IF(IFERROR(FIND("C级",$H217),0)&gt;0,5,IF(IFERROR(FIND("D级",$H217),0)&gt;0,8,1)))),"")</f>
        <v/>
      </c>
      <c r="K217" s="19" t="str">
        <f t="shared" si="8"/>
        <v/>
      </c>
      <c r="L217" s="129" t="str">
        <f t="shared" si="9"/>
        <v/>
      </c>
      <c r="M217" s="129"/>
      <c r="N217" s="129"/>
      <c r="O217" s="137" t="e">
        <f>VLOOKUP($G217,工作量标准!$C:$E,3,0)</f>
        <v>#N/A</v>
      </c>
    </row>
    <row r="218" customHeight="1" spans="1:15">
      <c r="A218" s="146">
        <v>182</v>
      </c>
      <c r="B218" s="147"/>
      <c r="C218" s="147"/>
      <c r="D218" s="147"/>
      <c r="E218" s="129"/>
      <c r="F218" s="129"/>
      <c r="G218" s="129"/>
      <c r="H218" s="129"/>
      <c r="I218" s="129"/>
      <c r="J218" s="129" t="str">
        <f>IFERROR(VLOOKUP($G218,工作量标准!$C:$D,2,0)*IF(IFERROR(FIND("A级",$H218),0)&gt;0,1,IF(IFERROR(FIND("B级",$H218),0)&gt;0,3,IF(IFERROR(FIND("C级",$H218),0)&gt;0,5,IF(IFERROR(FIND("D级",$H218),0)&gt;0,8,1)))),"")</f>
        <v/>
      </c>
      <c r="K218" s="19" t="str">
        <f t="shared" si="8"/>
        <v/>
      </c>
      <c r="L218" s="129" t="str">
        <f t="shared" si="9"/>
        <v/>
      </c>
      <c r="M218" s="129"/>
      <c r="N218" s="129"/>
      <c r="O218" s="137" t="e">
        <f>VLOOKUP($G218,工作量标准!$C:$E,3,0)</f>
        <v>#N/A</v>
      </c>
    </row>
    <row r="219" customHeight="1" spans="1:15">
      <c r="A219" s="146">
        <v>183</v>
      </c>
      <c r="B219" s="147"/>
      <c r="C219" s="147"/>
      <c r="D219" s="147"/>
      <c r="E219" s="129"/>
      <c r="F219" s="129"/>
      <c r="G219" s="129"/>
      <c r="H219" s="129"/>
      <c r="I219" s="129"/>
      <c r="J219" s="129" t="str">
        <f>IFERROR(VLOOKUP($G219,工作量标准!$C:$D,2,0)*IF(IFERROR(FIND("A级",$H219),0)&gt;0,1,IF(IFERROR(FIND("B级",$H219),0)&gt;0,3,IF(IFERROR(FIND("C级",$H219),0)&gt;0,5,IF(IFERROR(FIND("D级",$H219),0)&gt;0,8,1)))),"")</f>
        <v/>
      </c>
      <c r="K219" s="19" t="str">
        <f t="shared" si="8"/>
        <v/>
      </c>
      <c r="L219" s="129" t="str">
        <f t="shared" si="9"/>
        <v/>
      </c>
      <c r="M219" s="129"/>
      <c r="N219" s="129"/>
      <c r="O219" s="137" t="e">
        <f>VLOOKUP($G219,工作量标准!$C:$E,3,0)</f>
        <v>#N/A</v>
      </c>
    </row>
    <row r="220" customHeight="1" spans="1:15">
      <c r="A220" s="146">
        <v>184</v>
      </c>
      <c r="B220" s="147"/>
      <c r="C220" s="147"/>
      <c r="D220" s="147"/>
      <c r="E220" s="129"/>
      <c r="F220" s="129"/>
      <c r="G220" s="129"/>
      <c r="H220" s="129"/>
      <c r="I220" s="129"/>
      <c r="J220" s="129" t="str">
        <f>IFERROR(VLOOKUP($G220,工作量标准!$C:$D,2,0)*IF(IFERROR(FIND("A级",$H220),0)&gt;0,1,IF(IFERROR(FIND("B级",$H220),0)&gt;0,3,IF(IFERROR(FIND("C级",$H220),0)&gt;0,5,IF(IFERROR(FIND("D级",$H220),0)&gt;0,8,1)))),"")</f>
        <v/>
      </c>
      <c r="K220" s="19" t="str">
        <f t="shared" si="8"/>
        <v/>
      </c>
      <c r="L220" s="129" t="str">
        <f t="shared" si="9"/>
        <v/>
      </c>
      <c r="M220" s="129"/>
      <c r="N220" s="129"/>
      <c r="O220" s="137" t="e">
        <f>VLOOKUP($G220,工作量标准!$C:$E,3,0)</f>
        <v>#N/A</v>
      </c>
    </row>
    <row r="221" customHeight="1" spans="1:15">
      <c r="A221" s="146">
        <v>185</v>
      </c>
      <c r="B221" s="147"/>
      <c r="C221" s="147"/>
      <c r="D221" s="147"/>
      <c r="E221" s="129"/>
      <c r="F221" s="129"/>
      <c r="G221" s="129"/>
      <c r="H221" s="129"/>
      <c r="I221" s="129"/>
      <c r="J221" s="129" t="str">
        <f>IFERROR(VLOOKUP($G221,工作量标准!$C:$D,2,0)*IF(IFERROR(FIND("A级",$H221),0)&gt;0,1,IF(IFERROR(FIND("B级",$H221),0)&gt;0,3,IF(IFERROR(FIND("C级",$H221),0)&gt;0,5,IF(IFERROR(FIND("D级",$H221),0)&gt;0,8,1)))),"")</f>
        <v/>
      </c>
      <c r="K221" s="19" t="str">
        <f t="shared" si="8"/>
        <v/>
      </c>
      <c r="L221" s="129" t="str">
        <f t="shared" si="9"/>
        <v/>
      </c>
      <c r="M221" s="129"/>
      <c r="N221" s="129"/>
      <c r="O221" s="137" t="e">
        <f>VLOOKUP($G221,工作量标准!$C:$E,3,0)</f>
        <v>#N/A</v>
      </c>
    </row>
    <row r="222" customHeight="1" spans="1:15">
      <c r="A222" s="146">
        <v>186</v>
      </c>
      <c r="B222" s="147"/>
      <c r="C222" s="147"/>
      <c r="D222" s="147"/>
      <c r="E222" s="129"/>
      <c r="F222" s="129"/>
      <c r="G222" s="129"/>
      <c r="H222" s="129"/>
      <c r="I222" s="129"/>
      <c r="J222" s="129" t="str">
        <f>IFERROR(VLOOKUP($G222,工作量标准!$C:$D,2,0)*IF(IFERROR(FIND("A级",$H222),0)&gt;0,1,IF(IFERROR(FIND("B级",$H222),0)&gt;0,3,IF(IFERROR(FIND("C级",$H222),0)&gt;0,5,IF(IFERROR(FIND("D级",$H222),0)&gt;0,8,1)))),"")</f>
        <v/>
      </c>
      <c r="K222" s="19" t="str">
        <f t="shared" si="8"/>
        <v/>
      </c>
      <c r="L222" s="129" t="str">
        <f t="shared" si="9"/>
        <v/>
      </c>
      <c r="M222" s="129"/>
      <c r="N222" s="129"/>
      <c r="O222" s="137" t="e">
        <f>VLOOKUP($G222,工作量标准!$C:$E,3,0)</f>
        <v>#N/A</v>
      </c>
    </row>
    <row r="223" customHeight="1" spans="1:15">
      <c r="A223" s="146">
        <v>187</v>
      </c>
      <c r="B223" s="147"/>
      <c r="C223" s="147"/>
      <c r="D223" s="147"/>
      <c r="E223" s="129"/>
      <c r="F223" s="129"/>
      <c r="G223" s="129"/>
      <c r="H223" s="129"/>
      <c r="I223" s="129"/>
      <c r="J223" s="129" t="str">
        <f>IFERROR(VLOOKUP($G223,工作量标准!$C:$D,2,0)*IF(IFERROR(FIND("A级",$H223),0)&gt;0,1,IF(IFERROR(FIND("B级",$H223),0)&gt;0,3,IF(IFERROR(FIND("C级",$H223),0)&gt;0,5,IF(IFERROR(FIND("D级",$H223),0)&gt;0,8,1)))),"")</f>
        <v/>
      </c>
      <c r="K223" s="19" t="str">
        <f t="shared" si="8"/>
        <v/>
      </c>
      <c r="L223" s="129" t="str">
        <f t="shared" si="9"/>
        <v/>
      </c>
      <c r="M223" s="129"/>
      <c r="N223" s="129"/>
      <c r="O223" s="137" t="e">
        <f>VLOOKUP($G223,工作量标准!$C:$E,3,0)</f>
        <v>#N/A</v>
      </c>
    </row>
    <row r="224" customHeight="1" spans="1:15">
      <c r="A224" s="146">
        <v>188</v>
      </c>
      <c r="B224" s="147"/>
      <c r="C224" s="147"/>
      <c r="D224" s="147"/>
      <c r="E224" s="129"/>
      <c r="F224" s="129"/>
      <c r="G224" s="129"/>
      <c r="H224" s="129"/>
      <c r="I224" s="129"/>
      <c r="J224" s="129" t="str">
        <f>IFERROR(VLOOKUP($G224,工作量标准!$C:$D,2,0)*IF(IFERROR(FIND("A级",$H224),0)&gt;0,1,IF(IFERROR(FIND("B级",$H224),0)&gt;0,3,IF(IFERROR(FIND("C级",$H224),0)&gt;0,5,IF(IFERROR(FIND("D级",$H224),0)&gt;0,8,1)))),"")</f>
        <v/>
      </c>
      <c r="K224" s="19" t="str">
        <f t="shared" si="8"/>
        <v/>
      </c>
      <c r="L224" s="129" t="str">
        <f t="shared" si="9"/>
        <v/>
      </c>
      <c r="M224" s="129"/>
      <c r="N224" s="129"/>
      <c r="O224" s="137" t="e">
        <f>VLOOKUP($G224,工作量标准!$C:$E,3,0)</f>
        <v>#N/A</v>
      </c>
    </row>
    <row r="225" customHeight="1" spans="1:15">
      <c r="A225" s="146">
        <v>189</v>
      </c>
      <c r="B225" s="147"/>
      <c r="C225" s="147"/>
      <c r="D225" s="147"/>
      <c r="E225" s="129"/>
      <c r="F225" s="129"/>
      <c r="G225" s="129"/>
      <c r="H225" s="129"/>
      <c r="I225" s="129"/>
      <c r="J225" s="129" t="str">
        <f>IFERROR(VLOOKUP($G225,工作量标准!$C:$D,2,0)*IF(IFERROR(FIND("A级",$H225),0)&gt;0,1,IF(IFERROR(FIND("B级",$H225),0)&gt;0,3,IF(IFERROR(FIND("C级",$H225),0)&gt;0,5,IF(IFERROR(FIND("D级",$H225),0)&gt;0,8,1)))),"")</f>
        <v/>
      </c>
      <c r="K225" s="19" t="str">
        <f t="shared" si="8"/>
        <v/>
      </c>
      <c r="L225" s="129" t="str">
        <f t="shared" si="9"/>
        <v/>
      </c>
      <c r="M225" s="129"/>
      <c r="N225" s="129"/>
      <c r="O225" s="137" t="e">
        <f>VLOOKUP($G225,工作量标准!$C:$E,3,0)</f>
        <v>#N/A</v>
      </c>
    </row>
    <row r="226" customHeight="1" spans="1:15">
      <c r="A226" s="146">
        <v>190</v>
      </c>
      <c r="B226" s="147"/>
      <c r="C226" s="147"/>
      <c r="D226" s="147"/>
      <c r="E226" s="129"/>
      <c r="F226" s="129"/>
      <c r="G226" s="129"/>
      <c r="H226" s="129"/>
      <c r="I226" s="129"/>
      <c r="J226" s="129" t="str">
        <f>IFERROR(VLOOKUP($G226,工作量标准!$C:$D,2,0)*IF(IFERROR(FIND("A级",$H226),0)&gt;0,1,IF(IFERROR(FIND("B级",$H226),0)&gt;0,3,IF(IFERROR(FIND("C级",$H226),0)&gt;0,5,IF(IFERROR(FIND("D级",$H226),0)&gt;0,8,1)))),"")</f>
        <v/>
      </c>
      <c r="K226" s="19" t="str">
        <f t="shared" si="8"/>
        <v/>
      </c>
      <c r="L226" s="129" t="str">
        <f t="shared" si="9"/>
        <v/>
      </c>
      <c r="M226" s="129"/>
      <c r="N226" s="129"/>
      <c r="O226" s="137" t="e">
        <f>VLOOKUP($G226,工作量标准!$C:$E,3,0)</f>
        <v>#N/A</v>
      </c>
    </row>
    <row r="227" customHeight="1" spans="1:15">
      <c r="A227" s="146">
        <v>191</v>
      </c>
      <c r="B227" s="147"/>
      <c r="C227" s="147"/>
      <c r="D227" s="147"/>
      <c r="E227" s="129"/>
      <c r="F227" s="129"/>
      <c r="G227" s="129"/>
      <c r="H227" s="129"/>
      <c r="I227" s="129"/>
      <c r="J227" s="129" t="str">
        <f>IFERROR(VLOOKUP($G227,工作量标准!$C:$D,2,0)*IF(IFERROR(FIND("A级",$H227),0)&gt;0,1,IF(IFERROR(FIND("B级",$H227),0)&gt;0,3,IF(IFERROR(FIND("C级",$H227),0)&gt;0,5,IF(IFERROR(FIND("D级",$H227),0)&gt;0,8,1)))),"")</f>
        <v/>
      </c>
      <c r="K227" s="19" t="str">
        <f t="shared" si="8"/>
        <v/>
      </c>
      <c r="L227" s="129" t="str">
        <f t="shared" si="9"/>
        <v/>
      </c>
      <c r="M227" s="129"/>
      <c r="N227" s="129"/>
      <c r="O227" s="137" t="e">
        <f>VLOOKUP($G227,工作量标准!$C:$E,3,0)</f>
        <v>#N/A</v>
      </c>
    </row>
    <row r="228" customHeight="1" spans="1:15">
      <c r="A228" s="146">
        <v>192</v>
      </c>
      <c r="B228" s="147"/>
      <c r="C228" s="147"/>
      <c r="D228" s="147"/>
      <c r="E228" s="129"/>
      <c r="F228" s="129"/>
      <c r="G228" s="129"/>
      <c r="H228" s="129"/>
      <c r="I228" s="129"/>
      <c r="J228" s="129" t="str">
        <f>IFERROR(VLOOKUP($G228,工作量标准!$C:$D,2,0)*IF(IFERROR(FIND("A级",$H228),0)&gt;0,1,IF(IFERROR(FIND("B级",$H228),0)&gt;0,3,IF(IFERROR(FIND("C级",$H228),0)&gt;0,5,IF(IFERROR(FIND("D级",$H228),0)&gt;0,8,1)))),"")</f>
        <v/>
      </c>
      <c r="K228" s="19" t="str">
        <f t="shared" si="8"/>
        <v/>
      </c>
      <c r="L228" s="129" t="str">
        <f t="shared" si="9"/>
        <v/>
      </c>
      <c r="M228" s="129"/>
      <c r="N228" s="129"/>
      <c r="O228" s="137" t="e">
        <f>VLOOKUP($G228,工作量标准!$C:$E,3,0)</f>
        <v>#N/A</v>
      </c>
    </row>
    <row r="229" customHeight="1" spans="1:15">
      <c r="A229" s="146">
        <v>193</v>
      </c>
      <c r="B229" s="147"/>
      <c r="C229" s="147"/>
      <c r="D229" s="147"/>
      <c r="E229" s="129"/>
      <c r="F229" s="129"/>
      <c r="G229" s="129"/>
      <c r="H229" s="129"/>
      <c r="I229" s="129"/>
      <c r="J229" s="129" t="str">
        <f>IFERROR(VLOOKUP($G229,工作量标准!$C:$D,2,0)*IF(IFERROR(FIND("A级",$H229),0)&gt;0,1,IF(IFERROR(FIND("B级",$H229),0)&gt;0,3,IF(IFERROR(FIND("C级",$H229),0)&gt;0,5,IF(IFERROR(FIND("D级",$H229),0)&gt;0,8,1)))),"")</f>
        <v/>
      </c>
      <c r="K229" s="19" t="str">
        <f t="shared" si="8"/>
        <v/>
      </c>
      <c r="L229" s="129" t="str">
        <f t="shared" si="9"/>
        <v/>
      </c>
      <c r="M229" s="129"/>
      <c r="N229" s="129"/>
      <c r="O229" s="137" t="e">
        <f>VLOOKUP($G229,工作量标准!$C:$E,3,0)</f>
        <v>#N/A</v>
      </c>
    </row>
    <row r="230" customHeight="1" spans="1:15">
      <c r="A230" s="146">
        <v>194</v>
      </c>
      <c r="B230" s="147"/>
      <c r="C230" s="147"/>
      <c r="D230" s="147"/>
      <c r="E230" s="129"/>
      <c r="F230" s="129"/>
      <c r="G230" s="129"/>
      <c r="H230" s="129"/>
      <c r="I230" s="129"/>
      <c r="J230" s="129" t="str">
        <f>IFERROR(VLOOKUP($G230,工作量标准!$C:$D,2,0)*IF(IFERROR(FIND("A级",$H230),0)&gt;0,1,IF(IFERROR(FIND("B级",$H230),0)&gt;0,3,IF(IFERROR(FIND("C级",$H230),0)&gt;0,5,IF(IFERROR(FIND("D级",$H230),0)&gt;0,8,1)))),"")</f>
        <v/>
      </c>
      <c r="K230" s="19" t="str">
        <f t="shared" ref="K230:K235" si="10">IF($J230="","",ROUND(800/1.06,3))</f>
        <v/>
      </c>
      <c r="L230" s="129" t="str">
        <f t="shared" ref="L230:L235" si="11">IFERROR(ROUND($J230*$K230/10000,4),"")</f>
        <v/>
      </c>
      <c r="M230" s="129"/>
      <c r="N230" s="129"/>
      <c r="O230" s="137" t="e">
        <f>VLOOKUP($G230,工作量标准!$C:$E,3,0)</f>
        <v>#N/A</v>
      </c>
    </row>
    <row r="231" customHeight="1" spans="1:15">
      <c r="A231" s="146">
        <v>195</v>
      </c>
      <c r="B231" s="148"/>
      <c r="C231" s="148"/>
      <c r="D231" s="148"/>
      <c r="E231" s="129"/>
      <c r="F231" s="129"/>
      <c r="G231" s="129"/>
      <c r="H231" s="129"/>
      <c r="I231" s="129"/>
      <c r="J231" s="129" t="str">
        <f>IFERROR(VLOOKUP($G231,工作量标准!$C:$D,2,0)*IF(IFERROR(FIND("A级",$H231),0)&gt;0,1,IF(IFERROR(FIND("B级",$H231),0)&gt;0,3,IF(IFERROR(FIND("C级",$H231),0)&gt;0,5,IF(IFERROR(FIND("D级",$H231),0)&gt;0,8,1)))),"")</f>
        <v/>
      </c>
      <c r="K231" s="19" t="str">
        <f t="shared" si="10"/>
        <v/>
      </c>
      <c r="L231" s="129" t="str">
        <f t="shared" si="11"/>
        <v/>
      </c>
      <c r="M231" s="129"/>
      <c r="N231" s="129"/>
      <c r="O231" s="137" t="e">
        <f>VLOOKUP($G231,工作量标准!$C:$E,3,0)</f>
        <v>#N/A</v>
      </c>
    </row>
    <row r="232" customHeight="1" spans="1:15">
      <c r="A232" s="146">
        <v>196</v>
      </c>
      <c r="B232" s="148"/>
      <c r="C232" s="148"/>
      <c r="D232" s="148"/>
      <c r="E232" s="129"/>
      <c r="F232" s="129"/>
      <c r="G232" s="129"/>
      <c r="H232" s="129"/>
      <c r="I232" s="129"/>
      <c r="J232" s="129" t="str">
        <f>IFERROR(VLOOKUP($G232,工作量标准!$C:$D,2,0)*IF(IFERROR(FIND("A级",$H232),0)&gt;0,1,IF(IFERROR(FIND("B级",$H232),0)&gt;0,3,IF(IFERROR(FIND("C级",$H232),0)&gt;0,5,IF(IFERROR(FIND("D级",$H232),0)&gt;0,8,1)))),"")</f>
        <v/>
      </c>
      <c r="K232" s="19" t="str">
        <f t="shared" si="10"/>
        <v/>
      </c>
      <c r="L232" s="129" t="str">
        <f t="shared" si="11"/>
        <v/>
      </c>
      <c r="M232" s="129"/>
      <c r="N232" s="129"/>
      <c r="O232" s="137" t="e">
        <f>VLOOKUP($G232,工作量标准!$C:$E,3,0)</f>
        <v>#N/A</v>
      </c>
    </row>
    <row r="233" customHeight="1" spans="1:15">
      <c r="A233" s="146">
        <v>197</v>
      </c>
      <c r="B233" s="148"/>
      <c r="C233" s="148"/>
      <c r="D233" s="148"/>
      <c r="E233" s="129"/>
      <c r="F233" s="129"/>
      <c r="G233" s="129"/>
      <c r="H233" s="129"/>
      <c r="I233" s="129"/>
      <c r="J233" s="129" t="str">
        <f>IFERROR(VLOOKUP($G233,工作量标准!$C:$D,2,0)*IF(IFERROR(FIND("A级",$H233),0)&gt;0,1,IF(IFERROR(FIND("B级",$H233),0)&gt;0,3,IF(IFERROR(FIND("C级",$H233),0)&gt;0,5,IF(IFERROR(FIND("D级",$H233),0)&gt;0,8,1)))),"")</f>
        <v/>
      </c>
      <c r="K233" s="19" t="str">
        <f t="shared" si="10"/>
        <v/>
      </c>
      <c r="L233" s="129" t="str">
        <f t="shared" si="11"/>
        <v/>
      </c>
      <c r="M233" s="129"/>
      <c r="N233" s="129"/>
      <c r="O233" s="137" t="e">
        <f>VLOOKUP($G233,工作量标准!$C:$E,3,0)</f>
        <v>#N/A</v>
      </c>
    </row>
    <row r="234" customHeight="1" spans="1:15">
      <c r="A234" s="146">
        <v>198</v>
      </c>
      <c r="B234" s="148"/>
      <c r="C234" s="148"/>
      <c r="D234" s="148"/>
      <c r="E234" s="129"/>
      <c r="F234" s="129"/>
      <c r="G234" s="129"/>
      <c r="H234" s="129"/>
      <c r="I234" s="129"/>
      <c r="J234" s="129" t="str">
        <f>IFERROR(VLOOKUP($G234,工作量标准!$C:$D,2,0)*IF(IFERROR(FIND("A级",$H234),0)&gt;0,1,IF(IFERROR(FIND("B级",$H234),0)&gt;0,3,IF(IFERROR(FIND("C级",$H234),0)&gt;0,5,IF(IFERROR(FIND("D级",$H234),0)&gt;0,8,1)))),"")</f>
        <v/>
      </c>
      <c r="K234" s="19" t="str">
        <f t="shared" si="10"/>
        <v/>
      </c>
      <c r="L234" s="129" t="str">
        <f t="shared" si="11"/>
        <v/>
      </c>
      <c r="M234" s="129"/>
      <c r="N234" s="129"/>
      <c r="O234" s="137" t="e">
        <f>VLOOKUP($G234,工作量标准!$C:$E,3,0)</f>
        <v>#N/A</v>
      </c>
    </row>
    <row r="235" customHeight="1" spans="1:15">
      <c r="A235" s="146">
        <v>199</v>
      </c>
      <c r="B235" s="148"/>
      <c r="C235" s="148"/>
      <c r="D235" s="147"/>
      <c r="E235" s="129"/>
      <c r="F235" s="129"/>
      <c r="G235" s="129"/>
      <c r="H235" s="129"/>
      <c r="I235" s="129"/>
      <c r="J235" s="129" t="str">
        <f>IFERROR(VLOOKUP($G235,工作量标准!$C:$D,2,0)*IF(IFERROR(FIND("A级",$H235),0)&gt;0,1,IF(IFERROR(FIND("B级",$H235),0)&gt;0,3,IF(IFERROR(FIND("C级",$H235),0)&gt;0,5,IF(IFERROR(FIND("D级",$H235),0)&gt;0,8,1)))),"")</f>
        <v/>
      </c>
      <c r="K235" s="19" t="str">
        <f t="shared" si="10"/>
        <v/>
      </c>
      <c r="L235" s="129" t="str">
        <f t="shared" si="11"/>
        <v/>
      </c>
      <c r="M235" s="129"/>
      <c r="N235" s="129"/>
      <c r="O235" s="137" t="e">
        <f>VLOOKUP($G235,工作量标准!$C:$E,3,0)</f>
        <v>#N/A</v>
      </c>
    </row>
    <row r="236" customHeight="1" spans="1:15">
      <c r="A236" s="149">
        <v>200</v>
      </c>
      <c r="D236" s="150"/>
      <c r="E236" s="137"/>
      <c r="F236" s="137"/>
      <c r="G236" s="137"/>
      <c r="H236" s="137"/>
      <c r="I236" s="137"/>
      <c r="J236" s="137"/>
      <c r="K236" s="137"/>
      <c r="L236" s="137"/>
      <c r="M236" s="137"/>
      <c r="N236" s="137"/>
    </row>
  </sheetData>
  <mergeCells count="78">
    <mergeCell ref="A1:I1"/>
    <mergeCell ref="J1:M1"/>
    <mergeCell ref="A2:B2"/>
    <mergeCell ref="F2:I2"/>
    <mergeCell ref="J2:M2"/>
    <mergeCell ref="A3:B3"/>
    <mergeCell ref="F3:I3"/>
    <mergeCell ref="J3:M3"/>
    <mergeCell ref="A4:B4"/>
    <mergeCell ref="F4:I4"/>
    <mergeCell ref="J4:M4"/>
    <mergeCell ref="A5:B5"/>
    <mergeCell ref="F5:I5"/>
    <mergeCell ref="J5:M5"/>
    <mergeCell ref="A6:B6"/>
    <mergeCell ref="A7:B7"/>
    <mergeCell ref="A8:B8"/>
    <mergeCell ref="A9:B9"/>
    <mergeCell ref="A10:B10"/>
    <mergeCell ref="F10:I10"/>
    <mergeCell ref="J10:M10"/>
    <mergeCell ref="A11:C11"/>
    <mergeCell ref="D11:E11"/>
    <mergeCell ref="F11:I11"/>
    <mergeCell ref="J11:M11"/>
    <mergeCell ref="A12:M12"/>
    <mergeCell ref="A15:M15"/>
    <mergeCell ref="A16:M16"/>
    <mergeCell ref="A17:M17"/>
    <mergeCell ref="C18:D18"/>
    <mergeCell ref="F18:I18"/>
    <mergeCell ref="J18:M18"/>
    <mergeCell ref="C19:D19"/>
    <mergeCell ref="F19:I19"/>
    <mergeCell ref="J19:M19"/>
    <mergeCell ref="C20:D20"/>
    <mergeCell ref="F20:I20"/>
    <mergeCell ref="J20:M20"/>
    <mergeCell ref="C21:D21"/>
    <mergeCell ref="C22:D22"/>
    <mergeCell ref="A25:H25"/>
    <mergeCell ref="I25:N25"/>
    <mergeCell ref="A26:B26"/>
    <mergeCell ref="C26:D26"/>
    <mergeCell ref="F26:G26"/>
    <mergeCell ref="I26:M26"/>
    <mergeCell ref="A28:H28"/>
    <mergeCell ref="C29:D29"/>
    <mergeCell ref="E29:H29"/>
    <mergeCell ref="C30:D30"/>
    <mergeCell ref="E30:H30"/>
    <mergeCell ref="C31:D31"/>
    <mergeCell ref="E31:H31"/>
    <mergeCell ref="D32:E32"/>
    <mergeCell ref="F32:G32"/>
    <mergeCell ref="D33:E33"/>
    <mergeCell ref="F33:G33"/>
    <mergeCell ref="D34:E34"/>
    <mergeCell ref="F34:G34"/>
    <mergeCell ref="D35:E35"/>
    <mergeCell ref="F35:G35"/>
    <mergeCell ref="A36:H36"/>
    <mergeCell ref="A29:A35"/>
    <mergeCell ref="B29:B31"/>
    <mergeCell ref="B32:B35"/>
    <mergeCell ref="I32:I35"/>
    <mergeCell ref="K32:K35"/>
    <mergeCell ref="L32:L35"/>
    <mergeCell ref="M32:M35"/>
    <mergeCell ref="A21:B22"/>
    <mergeCell ref="F21:I22"/>
    <mergeCell ref="J21:M22"/>
    <mergeCell ref="A13:M14"/>
    <mergeCell ref="A18:B20"/>
    <mergeCell ref="A23:B24"/>
    <mergeCell ref="C23:E24"/>
    <mergeCell ref="F23:G24"/>
    <mergeCell ref="H23:M24"/>
  </mergeCells>
  <dataValidations count="6">
    <dataValidation type="list" allowBlank="1" showInputMessage="1" showErrorMessage="1" sqref="F32 F33:G35">
      <formula1>INDIRECT(C32)</formula1>
    </dataValidation>
    <dataValidation type="whole" operator="between" allowBlank="1" showInputMessage="1" showErrorMessage="1" sqref="I236:M236 M37:M235 I37:J235">
      <formula1>1</formula1>
      <formula2>50</formula2>
    </dataValidation>
    <dataValidation type="list" allowBlank="1" showInputMessage="1" showErrorMessage="1" sqref="C32:C35">
      <formula1>功能点类型!$A$23:$D$23</formula1>
    </dataValidation>
    <dataValidation type="list" allowBlank="1" showInputMessage="1" showErrorMessage="1" sqref="F37:F236 A3:B9">
      <formula1>功能点类型!$A$1:$H$1</formula1>
    </dataValidation>
    <dataValidation type="list" showInputMessage="1" showErrorMessage="1" sqref="G37:G236">
      <formula1>INDIRECT(F37)</formula1>
    </dataValidation>
    <dataValidation type="list" showInputMessage="1" showErrorMessage="1" sqref="H37:H236">
      <formula1>"A级,B级,C级,D级"</formula1>
    </dataValidation>
  </dataValidations>
  <pageMargins left="0.393700787401575" right="0" top="0.393700787401575" bottom="0" header="0" footer="0"/>
  <pageSetup paperSize="9" scale="68" fitToHeight="0" orientation="landscape"/>
  <headerFooter/>
  <ignoredErrors>
    <ignoredError sqref="J32:J35" emptyCellReference="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3"/>
  <sheetViews>
    <sheetView zoomScale="85" zoomScaleNormal="85" workbookViewId="0">
      <pane xSplit="4" ySplit="1" topLeftCell="E2" activePane="bottomRight" state="frozen"/>
      <selection/>
      <selection pane="topRight"/>
      <selection pane="bottomLeft"/>
      <selection pane="bottomRight" activeCell="F6" sqref="F6"/>
    </sheetView>
  </sheetViews>
  <sheetFormatPr defaultColWidth="8.875" defaultRowHeight="16.8" outlineLevelCol="7"/>
  <cols>
    <col min="1" max="2" width="13.125" style="11" customWidth="1"/>
    <col min="3" max="3" width="17" style="11" customWidth="1"/>
    <col min="4" max="4" width="14" style="11" customWidth="1"/>
    <col min="5" max="6" width="75" style="11" customWidth="1"/>
    <col min="7" max="16384" width="8.875" style="11"/>
  </cols>
  <sheetData>
    <row r="1" s="10" customFormat="1" ht="31" spans="1:8">
      <c r="A1" s="12" t="s">
        <v>323</v>
      </c>
      <c r="B1" s="13" t="s">
        <v>238</v>
      </c>
      <c r="C1" s="13" t="s">
        <v>324</v>
      </c>
      <c r="D1" s="13" t="s">
        <v>325</v>
      </c>
      <c r="E1" s="14" t="s">
        <v>326</v>
      </c>
      <c r="F1" s="14" t="s">
        <v>327</v>
      </c>
      <c r="G1" s="14" t="s">
        <v>328</v>
      </c>
      <c r="H1" s="14" t="s">
        <v>329</v>
      </c>
    </row>
    <row r="2" ht="76" spans="1:8">
      <c r="A2" s="15" t="s">
        <v>330</v>
      </c>
      <c r="B2" s="16" t="s">
        <v>61</v>
      </c>
      <c r="C2" s="16" t="s">
        <v>62</v>
      </c>
      <c r="D2" s="17">
        <v>2</v>
      </c>
      <c r="E2" s="16" t="s">
        <v>331</v>
      </c>
      <c r="F2" s="16" t="s">
        <v>332</v>
      </c>
      <c r="G2" s="18" t="s">
        <v>286</v>
      </c>
      <c r="H2" s="19">
        <v>1</v>
      </c>
    </row>
    <row r="3" ht="61" spans="1:8">
      <c r="A3" s="15" t="s">
        <v>333</v>
      </c>
      <c r="B3" s="16" t="s">
        <v>61</v>
      </c>
      <c r="C3" s="16" t="s">
        <v>289</v>
      </c>
      <c r="D3" s="17">
        <v>1</v>
      </c>
      <c r="E3" s="16" t="s">
        <v>334</v>
      </c>
      <c r="F3" s="16" t="s">
        <v>335</v>
      </c>
      <c r="G3" s="18" t="s">
        <v>47</v>
      </c>
      <c r="H3" s="19">
        <v>3</v>
      </c>
    </row>
    <row r="4" ht="259" spans="1:8">
      <c r="A4" s="15" t="s">
        <v>336</v>
      </c>
      <c r="B4" s="16" t="s">
        <v>67</v>
      </c>
      <c r="C4" s="16" t="s">
        <v>68</v>
      </c>
      <c r="D4" s="17">
        <v>4</v>
      </c>
      <c r="E4" s="16" t="s">
        <v>337</v>
      </c>
      <c r="F4" s="16" t="s">
        <v>338</v>
      </c>
      <c r="G4" s="18" t="s">
        <v>46</v>
      </c>
      <c r="H4" s="19">
        <v>5</v>
      </c>
    </row>
    <row r="5" ht="274" spans="1:8">
      <c r="A5" s="15" t="s">
        <v>339</v>
      </c>
      <c r="B5" s="16" t="s">
        <v>67</v>
      </c>
      <c r="C5" s="16" t="s">
        <v>295</v>
      </c>
      <c r="D5" s="17">
        <v>2</v>
      </c>
      <c r="E5" s="16" t="s">
        <v>340</v>
      </c>
      <c r="F5" s="16" t="s">
        <v>341</v>
      </c>
      <c r="G5" s="18" t="s">
        <v>51</v>
      </c>
      <c r="H5" s="19">
        <v>8</v>
      </c>
    </row>
    <row r="6" ht="61" spans="1:8">
      <c r="A6" s="15" t="s">
        <v>342</v>
      </c>
      <c r="B6" s="16" t="s">
        <v>78</v>
      </c>
      <c r="C6" s="16" t="s">
        <v>79</v>
      </c>
      <c r="D6" s="17">
        <v>4</v>
      </c>
      <c r="E6" s="16" t="s">
        <v>343</v>
      </c>
      <c r="F6" s="16" t="s">
        <v>344</v>
      </c>
    </row>
    <row r="7" ht="61" spans="1:8">
      <c r="A7" s="15" t="s">
        <v>345</v>
      </c>
      <c r="B7" s="16" t="s">
        <v>78</v>
      </c>
      <c r="C7" s="16" t="s">
        <v>111</v>
      </c>
      <c r="D7" s="17">
        <v>2</v>
      </c>
      <c r="E7" s="16" t="s">
        <v>346</v>
      </c>
      <c r="F7" s="16" t="s">
        <v>347</v>
      </c>
    </row>
    <row r="8" ht="61" spans="1:8">
      <c r="A8" s="15" t="s">
        <v>348</v>
      </c>
      <c r="B8" s="16" t="s">
        <v>78</v>
      </c>
      <c r="C8" s="16" t="s">
        <v>302</v>
      </c>
      <c r="D8" s="17">
        <v>2</v>
      </c>
      <c r="E8" s="16" t="s">
        <v>349</v>
      </c>
      <c r="F8" s="16" t="s">
        <v>344</v>
      </c>
    </row>
    <row r="9" ht="61" spans="1:8">
      <c r="A9" s="15" t="s">
        <v>350</v>
      </c>
      <c r="B9" s="16" t="s">
        <v>78</v>
      </c>
      <c r="C9" s="16" t="s">
        <v>307</v>
      </c>
      <c r="D9" s="17">
        <v>0.5</v>
      </c>
      <c r="E9" s="16" t="s">
        <v>351</v>
      </c>
      <c r="F9" s="16" t="s">
        <v>352</v>
      </c>
    </row>
    <row r="10" ht="61" spans="1:8">
      <c r="A10" s="15" t="s">
        <v>353</v>
      </c>
      <c r="B10" s="16" t="s">
        <v>69</v>
      </c>
      <c r="C10" s="16" t="s">
        <v>70</v>
      </c>
      <c r="D10" s="17">
        <v>4</v>
      </c>
      <c r="E10" s="16" t="s">
        <v>354</v>
      </c>
      <c r="F10" s="16" t="s">
        <v>355</v>
      </c>
    </row>
    <row r="11" ht="61" spans="1:8">
      <c r="A11" s="15" t="s">
        <v>356</v>
      </c>
      <c r="B11" s="16" t="s">
        <v>69</v>
      </c>
      <c r="C11" s="16" t="s">
        <v>312</v>
      </c>
      <c r="D11" s="17">
        <v>2</v>
      </c>
      <c r="E11" s="16" t="s">
        <v>357</v>
      </c>
      <c r="F11" s="16" t="s">
        <v>358</v>
      </c>
    </row>
    <row r="12" ht="61" spans="1:8">
      <c r="A12" s="15" t="s">
        <v>359</v>
      </c>
      <c r="B12" s="20" t="s">
        <v>229</v>
      </c>
      <c r="C12" s="20" t="s">
        <v>230</v>
      </c>
      <c r="D12" s="17">
        <v>2</v>
      </c>
      <c r="E12" s="16" t="s">
        <v>360</v>
      </c>
      <c r="F12" s="16" t="s">
        <v>361</v>
      </c>
    </row>
    <row r="13" ht="61" spans="1:8">
      <c r="A13" s="15" t="s">
        <v>362</v>
      </c>
      <c r="B13" s="20" t="s">
        <v>229</v>
      </c>
      <c r="C13" s="20" t="s">
        <v>314</v>
      </c>
      <c r="D13" s="17">
        <v>0.5</v>
      </c>
      <c r="E13" s="16" t="s">
        <v>363</v>
      </c>
      <c r="F13" s="16" t="s">
        <v>361</v>
      </c>
    </row>
    <row r="14" ht="61" spans="1:8">
      <c r="A14" s="15" t="s">
        <v>364</v>
      </c>
      <c r="B14" s="16" t="s">
        <v>229</v>
      </c>
      <c r="C14" s="16" t="s">
        <v>315</v>
      </c>
      <c r="D14" s="17">
        <v>0.5</v>
      </c>
      <c r="E14" s="16" t="s">
        <v>365</v>
      </c>
      <c r="F14" s="16" t="s">
        <v>366</v>
      </c>
    </row>
    <row r="15" ht="61" spans="1:8">
      <c r="A15" s="15" t="s">
        <v>367</v>
      </c>
      <c r="B15" s="16" t="s">
        <v>125</v>
      </c>
      <c r="C15" s="16" t="s">
        <v>316</v>
      </c>
      <c r="D15" s="17">
        <v>1</v>
      </c>
      <c r="E15" s="16" t="s">
        <v>368</v>
      </c>
      <c r="F15" s="16" t="s">
        <v>369</v>
      </c>
    </row>
    <row r="16" ht="61" spans="1:8">
      <c r="A16" s="15" t="s">
        <v>370</v>
      </c>
      <c r="B16" s="16" t="s">
        <v>125</v>
      </c>
      <c r="C16" s="16" t="s">
        <v>317</v>
      </c>
      <c r="D16" s="17">
        <v>1</v>
      </c>
      <c r="E16" s="16" t="s">
        <v>371</v>
      </c>
      <c r="F16" s="16" t="s">
        <v>372</v>
      </c>
    </row>
    <row r="17" ht="61" spans="1:6">
      <c r="A17" s="15" t="s">
        <v>373</v>
      </c>
      <c r="B17" s="16" t="s">
        <v>125</v>
      </c>
      <c r="C17" s="16" t="s">
        <v>318</v>
      </c>
      <c r="D17" s="17">
        <v>1</v>
      </c>
      <c r="E17" s="16" t="s">
        <v>374</v>
      </c>
      <c r="F17" s="16" t="s">
        <v>375</v>
      </c>
    </row>
    <row r="18" ht="61" spans="1:6">
      <c r="A18" s="15" t="s">
        <v>376</v>
      </c>
      <c r="B18" s="16" t="s">
        <v>125</v>
      </c>
      <c r="C18" s="16" t="s">
        <v>319</v>
      </c>
      <c r="D18" s="17">
        <v>1</v>
      </c>
      <c r="E18" s="16" t="s">
        <v>377</v>
      </c>
      <c r="F18" s="16" t="s">
        <v>378</v>
      </c>
    </row>
    <row r="19" ht="61" spans="1:6">
      <c r="A19" s="15" t="s">
        <v>379</v>
      </c>
      <c r="B19" s="16" t="s">
        <v>125</v>
      </c>
      <c r="C19" s="16" t="s">
        <v>320</v>
      </c>
      <c r="D19" s="17">
        <v>0.5</v>
      </c>
      <c r="E19" s="16" t="s">
        <v>380</v>
      </c>
      <c r="F19" s="16" t="s">
        <v>381</v>
      </c>
    </row>
    <row r="20" ht="61" spans="1:6">
      <c r="A20" s="15" t="s">
        <v>382</v>
      </c>
      <c r="B20" s="16" t="s">
        <v>125</v>
      </c>
      <c r="C20" s="16" t="s">
        <v>321</v>
      </c>
      <c r="D20" s="17">
        <v>1</v>
      </c>
      <c r="E20" s="16" t="s">
        <v>383</v>
      </c>
      <c r="F20" s="16" t="s">
        <v>384</v>
      </c>
    </row>
    <row r="21" ht="61" spans="1:6">
      <c r="A21" s="15" t="s">
        <v>385</v>
      </c>
      <c r="B21" s="16" t="s">
        <v>125</v>
      </c>
      <c r="C21" s="16" t="s">
        <v>129</v>
      </c>
      <c r="D21" s="17">
        <v>1</v>
      </c>
      <c r="E21" s="16" t="s">
        <v>386</v>
      </c>
      <c r="F21" s="16" t="s">
        <v>387</v>
      </c>
    </row>
    <row r="22" ht="61" spans="1:6">
      <c r="A22" s="15" t="s">
        <v>388</v>
      </c>
      <c r="B22" s="16" t="s">
        <v>125</v>
      </c>
      <c r="C22" s="16" t="s">
        <v>126</v>
      </c>
      <c r="D22" s="17">
        <v>2</v>
      </c>
      <c r="E22" s="16" t="s">
        <v>389</v>
      </c>
      <c r="F22" s="16" t="s">
        <v>390</v>
      </c>
    </row>
    <row r="23" ht="61" spans="1:6">
      <c r="A23" s="15" t="s">
        <v>391</v>
      </c>
      <c r="B23" s="16" t="s">
        <v>125</v>
      </c>
      <c r="C23" s="16" t="s">
        <v>154</v>
      </c>
      <c r="D23" s="17">
        <v>2</v>
      </c>
      <c r="E23" s="16" t="s">
        <v>392</v>
      </c>
      <c r="F23" s="16" t="s">
        <v>393</v>
      </c>
    </row>
    <row r="24" ht="61" spans="1:6">
      <c r="A24" s="15" t="s">
        <v>394</v>
      </c>
      <c r="B24" s="16" t="s">
        <v>125</v>
      </c>
      <c r="C24" s="16" t="s">
        <v>322</v>
      </c>
      <c r="D24" s="17">
        <v>2</v>
      </c>
      <c r="E24" s="16" t="s">
        <v>395</v>
      </c>
      <c r="F24" s="16" t="s">
        <v>396</v>
      </c>
    </row>
    <row r="25" ht="61" spans="1:6">
      <c r="A25" s="21" t="s">
        <v>397</v>
      </c>
      <c r="B25" s="16" t="s">
        <v>44</v>
      </c>
      <c r="C25" s="16" t="s">
        <v>45</v>
      </c>
      <c r="D25" s="17">
        <v>1</v>
      </c>
      <c r="E25" s="16" t="s">
        <v>398</v>
      </c>
      <c r="F25" s="16" t="s">
        <v>399</v>
      </c>
    </row>
    <row r="26" ht="61" spans="1:6">
      <c r="A26" s="21" t="s">
        <v>400</v>
      </c>
      <c r="B26" s="16" t="s">
        <v>44</v>
      </c>
      <c r="C26" s="16" t="s">
        <v>57</v>
      </c>
      <c r="D26" s="17">
        <v>1</v>
      </c>
      <c r="E26" s="16" t="s">
        <v>401</v>
      </c>
      <c r="F26" s="16" t="s">
        <v>402</v>
      </c>
    </row>
    <row r="27" ht="61" spans="1:6">
      <c r="A27" s="21" t="s">
        <v>403</v>
      </c>
      <c r="B27" s="16" t="s">
        <v>44</v>
      </c>
      <c r="C27" s="16" t="s">
        <v>54</v>
      </c>
      <c r="D27" s="17">
        <v>1</v>
      </c>
      <c r="E27" s="16" t="s">
        <v>404</v>
      </c>
      <c r="F27" s="16" t="s">
        <v>405</v>
      </c>
    </row>
    <row r="28" ht="61" spans="1:6">
      <c r="A28" s="21" t="s">
        <v>406</v>
      </c>
      <c r="B28" s="16" t="s">
        <v>44</v>
      </c>
      <c r="C28" s="16" t="s">
        <v>50</v>
      </c>
      <c r="D28" s="17">
        <v>1</v>
      </c>
      <c r="E28" s="16" t="s">
        <v>407</v>
      </c>
      <c r="F28" s="16" t="s">
        <v>408</v>
      </c>
    </row>
    <row r="29" ht="61" spans="1:6">
      <c r="A29" s="21" t="s">
        <v>409</v>
      </c>
      <c r="B29" s="16" t="s">
        <v>139</v>
      </c>
      <c r="C29" s="16" t="s">
        <v>410</v>
      </c>
      <c r="D29" s="17">
        <v>5</v>
      </c>
      <c r="E29" s="16" t="s">
        <v>411</v>
      </c>
      <c r="F29" s="16" t="s">
        <v>412</v>
      </c>
    </row>
    <row r="30" ht="61" spans="1:6">
      <c r="A30" s="21" t="s">
        <v>413</v>
      </c>
      <c r="B30" s="16" t="s">
        <v>139</v>
      </c>
      <c r="C30" s="16" t="s">
        <v>414</v>
      </c>
      <c r="D30" s="17">
        <v>0.5</v>
      </c>
      <c r="E30" s="16" t="s">
        <v>415</v>
      </c>
      <c r="F30" s="16" t="s">
        <v>387</v>
      </c>
    </row>
    <row r="31" ht="61" spans="1:6">
      <c r="A31" s="21" t="s">
        <v>416</v>
      </c>
      <c r="B31" s="16" t="s">
        <v>139</v>
      </c>
      <c r="C31" s="16" t="s">
        <v>417</v>
      </c>
      <c r="D31" s="17">
        <v>1</v>
      </c>
      <c r="E31" s="16" t="s">
        <v>418</v>
      </c>
      <c r="F31" s="16" t="s">
        <v>419</v>
      </c>
    </row>
    <row r="32" ht="61" spans="1:6">
      <c r="A32" s="21" t="s">
        <v>420</v>
      </c>
      <c r="B32" s="16" t="s">
        <v>139</v>
      </c>
      <c r="C32" s="16" t="s">
        <v>421</v>
      </c>
      <c r="D32" s="17">
        <v>1</v>
      </c>
      <c r="E32" s="16" t="s">
        <v>422</v>
      </c>
      <c r="F32" s="16" t="s">
        <v>408</v>
      </c>
    </row>
    <row r="33" ht="61" spans="1:6">
      <c r="A33" s="21" t="s">
        <v>423</v>
      </c>
      <c r="B33" s="16" t="s">
        <v>139</v>
      </c>
      <c r="C33" s="16" t="s">
        <v>140</v>
      </c>
      <c r="D33" s="17">
        <v>7</v>
      </c>
      <c r="E33" s="16" t="s">
        <v>424</v>
      </c>
      <c r="F33" s="16" t="s">
        <v>425</v>
      </c>
    </row>
    <row r="34" ht="61" spans="1:6">
      <c r="A34" s="21" t="s">
        <v>426</v>
      </c>
      <c r="B34" s="16" t="s">
        <v>139</v>
      </c>
      <c r="C34" s="16" t="s">
        <v>427</v>
      </c>
      <c r="D34" s="17">
        <v>0.5</v>
      </c>
      <c r="E34" s="16" t="s">
        <v>428</v>
      </c>
      <c r="F34" s="16" t="s">
        <v>429</v>
      </c>
    </row>
    <row r="35" ht="61" spans="1:6">
      <c r="A35" s="21" t="s">
        <v>430</v>
      </c>
      <c r="B35" s="16" t="s">
        <v>139</v>
      </c>
      <c r="C35" s="16" t="s">
        <v>431</v>
      </c>
      <c r="D35" s="17">
        <v>2</v>
      </c>
      <c r="E35" s="16" t="s">
        <v>432</v>
      </c>
      <c r="F35" s="16" t="s">
        <v>433</v>
      </c>
    </row>
    <row r="36" ht="61" spans="1:6">
      <c r="A36" s="21" t="s">
        <v>434</v>
      </c>
      <c r="B36" s="16" t="s">
        <v>139</v>
      </c>
      <c r="C36" s="16" t="s">
        <v>435</v>
      </c>
      <c r="D36" s="17">
        <v>3</v>
      </c>
      <c r="E36" s="16" t="s">
        <v>436</v>
      </c>
      <c r="F36" s="16" t="s">
        <v>437</v>
      </c>
    </row>
    <row r="37" ht="61" spans="1:6">
      <c r="A37" s="21" t="s">
        <v>438</v>
      </c>
      <c r="B37" s="16" t="s">
        <v>139</v>
      </c>
      <c r="C37" s="16" t="s">
        <v>439</v>
      </c>
      <c r="D37" s="17">
        <v>1</v>
      </c>
      <c r="E37" s="16" t="s">
        <v>440</v>
      </c>
      <c r="F37" s="16" t="s">
        <v>441</v>
      </c>
    </row>
    <row r="38" spans="1:6">
      <c r="A38" s="22"/>
      <c r="B38" s="22"/>
      <c r="C38" s="22"/>
      <c r="D38" s="22"/>
    </row>
    <row r="39" spans="1:6">
      <c r="B39" s="23" t="s">
        <v>24</v>
      </c>
      <c r="C39" s="24" t="s">
        <v>442</v>
      </c>
      <c r="D39" s="23" t="s">
        <v>443</v>
      </c>
      <c r="E39" s="24" t="s">
        <v>444</v>
      </c>
      <c r="F39" s="24"/>
    </row>
    <row r="40" ht="46" spans="1:6">
      <c r="B40" s="23" t="s">
        <v>25</v>
      </c>
      <c r="C40" s="25" t="s">
        <v>445</v>
      </c>
      <c r="D40" s="26">
        <v>0</v>
      </c>
      <c r="E40" s="27" t="s">
        <v>446</v>
      </c>
      <c r="F40" s="27"/>
    </row>
    <row r="41" ht="31" spans="1:6">
      <c r="B41" s="23"/>
      <c r="C41" s="25" t="s">
        <v>447</v>
      </c>
      <c r="D41" s="26">
        <v>1</v>
      </c>
      <c r="E41" s="27" t="s">
        <v>446</v>
      </c>
      <c r="F41" s="27"/>
    </row>
    <row r="42" ht="31" spans="1:6">
      <c r="B42" s="23"/>
      <c r="C42" s="25" t="s">
        <v>448</v>
      </c>
      <c r="D42" s="26">
        <v>2</v>
      </c>
      <c r="E42" s="27" t="s">
        <v>446</v>
      </c>
      <c r="F42" s="27"/>
    </row>
    <row r="43" ht="31" spans="1:6">
      <c r="B43" s="23"/>
      <c r="C43" s="25" t="s">
        <v>449</v>
      </c>
      <c r="D43" s="26">
        <v>3</v>
      </c>
      <c r="E43" s="27" t="s">
        <v>446</v>
      </c>
      <c r="F43" s="27"/>
    </row>
    <row r="44" ht="31" spans="1:6">
      <c r="B44" s="23"/>
      <c r="C44" s="25" t="s">
        <v>450</v>
      </c>
      <c r="D44" s="26">
        <v>4</v>
      </c>
      <c r="E44" s="27" t="s">
        <v>446</v>
      </c>
      <c r="F44" s="27"/>
    </row>
    <row r="45" ht="31" spans="1:6">
      <c r="B45" s="23"/>
      <c r="C45" s="25" t="s">
        <v>26</v>
      </c>
      <c r="D45" s="26">
        <v>5</v>
      </c>
      <c r="E45" s="27" t="s">
        <v>446</v>
      </c>
      <c r="F45" s="27"/>
    </row>
    <row r="46" spans="1:6">
      <c r="B46" s="23" t="s">
        <v>29</v>
      </c>
      <c r="C46" s="28" t="s">
        <v>451</v>
      </c>
      <c r="D46" s="29">
        <v>0</v>
      </c>
      <c r="E46" s="27" t="s">
        <v>452</v>
      </c>
      <c r="F46" s="27"/>
    </row>
    <row r="47" ht="31" spans="1:6">
      <c r="B47" s="23"/>
      <c r="C47" s="28" t="s">
        <v>453</v>
      </c>
      <c r="D47" s="29">
        <v>1</v>
      </c>
      <c r="E47" s="27" t="s">
        <v>452</v>
      </c>
      <c r="F47" s="27"/>
    </row>
    <row r="48" ht="46" spans="1:6">
      <c r="B48" s="23"/>
      <c r="C48" s="28" t="s">
        <v>454</v>
      </c>
      <c r="D48" s="29">
        <v>2</v>
      </c>
      <c r="E48" s="27" t="s">
        <v>452</v>
      </c>
      <c r="F48" s="27"/>
    </row>
    <row r="49" ht="31" spans="2:6">
      <c r="B49" s="23"/>
      <c r="C49" s="28" t="s">
        <v>455</v>
      </c>
      <c r="D49" s="29">
        <v>3</v>
      </c>
      <c r="E49" s="27" t="s">
        <v>452</v>
      </c>
      <c r="F49" s="27"/>
    </row>
    <row r="50" ht="31" spans="2:6">
      <c r="B50" s="23"/>
      <c r="C50" s="28" t="s">
        <v>30</v>
      </c>
      <c r="D50" s="29">
        <v>4</v>
      </c>
      <c r="E50" s="27" t="s">
        <v>452</v>
      </c>
      <c r="F50" s="27"/>
    </row>
    <row r="51" ht="31" spans="2:6">
      <c r="B51" s="23"/>
      <c r="C51" s="28" t="s">
        <v>456</v>
      </c>
      <c r="D51" s="29">
        <v>5</v>
      </c>
      <c r="E51" s="27" t="s">
        <v>452</v>
      </c>
      <c r="F51" s="27"/>
    </row>
    <row r="52" ht="31" spans="2:6">
      <c r="B52" s="23" t="s">
        <v>33</v>
      </c>
      <c r="C52" s="25" t="s">
        <v>457</v>
      </c>
      <c r="D52" s="26">
        <v>0</v>
      </c>
      <c r="E52" s="27" t="s">
        <v>458</v>
      </c>
      <c r="F52" s="27"/>
    </row>
    <row r="53" ht="31" spans="2:6">
      <c r="B53" s="23"/>
      <c r="C53" s="25" t="s">
        <v>459</v>
      </c>
      <c r="D53" s="26">
        <v>1</v>
      </c>
      <c r="E53" s="27" t="s">
        <v>458</v>
      </c>
      <c r="F53" s="27"/>
    </row>
    <row r="54" ht="46" spans="2:6">
      <c r="B54" s="23"/>
      <c r="C54" s="25" t="s">
        <v>460</v>
      </c>
      <c r="D54" s="26">
        <v>2</v>
      </c>
      <c r="E54" s="27" t="s">
        <v>458</v>
      </c>
      <c r="F54" s="27"/>
    </row>
    <row r="55" ht="46" spans="2:6">
      <c r="B55" s="23"/>
      <c r="C55" s="25" t="s">
        <v>34</v>
      </c>
      <c r="D55" s="26">
        <v>3</v>
      </c>
      <c r="E55" s="27" t="s">
        <v>458</v>
      </c>
      <c r="F55" s="27"/>
    </row>
    <row r="56" ht="31" spans="2:6">
      <c r="B56" s="23"/>
      <c r="C56" s="25" t="s">
        <v>461</v>
      </c>
      <c r="D56" s="26">
        <v>4</v>
      </c>
      <c r="E56" s="27" t="s">
        <v>458</v>
      </c>
      <c r="F56" s="27"/>
    </row>
    <row r="57" ht="31" spans="2:6">
      <c r="B57" s="23"/>
      <c r="C57" s="25" t="s">
        <v>462</v>
      </c>
      <c r="D57" s="26">
        <v>5</v>
      </c>
      <c r="E57" s="27" t="s">
        <v>458</v>
      </c>
      <c r="F57" s="27"/>
    </row>
    <row r="58" ht="31" spans="2:6">
      <c r="B58" s="23" t="s">
        <v>37</v>
      </c>
      <c r="C58" s="25" t="s">
        <v>463</v>
      </c>
      <c r="D58" s="26">
        <v>0</v>
      </c>
      <c r="E58" s="27" t="s">
        <v>464</v>
      </c>
      <c r="F58" s="27"/>
    </row>
    <row r="59" ht="31" spans="2:6">
      <c r="B59" s="23"/>
      <c r="C59" s="25" t="s">
        <v>465</v>
      </c>
      <c r="D59" s="26">
        <v>1</v>
      </c>
      <c r="E59" s="27"/>
      <c r="F59" s="27"/>
    </row>
    <row r="60" ht="31" spans="2:6">
      <c r="B60" s="23"/>
      <c r="C60" s="25" t="s">
        <v>466</v>
      </c>
      <c r="D60" s="26">
        <v>2</v>
      </c>
      <c r="E60" s="27"/>
      <c r="F60" s="27"/>
    </row>
    <row r="61" ht="31" spans="2:6">
      <c r="B61" s="23"/>
      <c r="C61" s="25" t="s">
        <v>38</v>
      </c>
      <c r="D61" s="26">
        <v>3</v>
      </c>
      <c r="E61" s="27"/>
      <c r="F61" s="27"/>
    </row>
    <row r="62" ht="46" spans="2:6">
      <c r="B62" s="23"/>
      <c r="C62" s="25" t="s">
        <v>280</v>
      </c>
      <c r="D62" s="26">
        <v>4</v>
      </c>
      <c r="E62" s="27"/>
      <c r="F62" s="27"/>
    </row>
    <row r="63" ht="31" spans="2:6">
      <c r="B63" s="23"/>
      <c r="C63" s="25" t="s">
        <v>467</v>
      </c>
      <c r="D63" s="26">
        <v>5</v>
      </c>
      <c r="E63" s="27"/>
      <c r="F63" s="27"/>
    </row>
  </sheetData>
  <mergeCells count="12">
    <mergeCell ref="B40:B45"/>
    <mergeCell ref="B46:B51"/>
    <mergeCell ref="B52:B57"/>
    <mergeCell ref="B58:B63"/>
    <mergeCell ref="E40:E45"/>
    <mergeCell ref="E46:E51"/>
    <mergeCell ref="E52:E57"/>
    <mergeCell ref="E58:E63"/>
    <mergeCell ref="F40:F45"/>
    <mergeCell ref="F46:F51"/>
    <mergeCell ref="F52:F57"/>
    <mergeCell ref="F58:F63"/>
  </mergeCells>
  <pageMargins left="0.708661417322835" right="0.708661417322835" top="0.748031496062992" bottom="0.748031496062992" header="0.31496062992126" footer="0.31496062992126"/>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9"/>
  <sheetViews>
    <sheetView zoomScale="85" zoomScaleNormal="85" workbookViewId="0">
      <selection activeCell="F33" sqref="F33"/>
    </sheetView>
  </sheetViews>
  <sheetFormatPr defaultColWidth="14.25" defaultRowHeight="14.25" customHeight="1"/>
  <cols>
    <col min="1" max="1" width="15.875" style="1" customWidth="1"/>
    <col min="2" max="2" width="14.25" style="1"/>
    <col min="3" max="3" width="19.5" style="1" customWidth="1"/>
    <col min="4" max="5" width="14.25" style="1"/>
    <col min="6" max="6" width="20.5" style="1" customWidth="1"/>
    <col min="7" max="16384" width="14.25" style="1"/>
  </cols>
  <sheetData>
    <row r="1" customHeight="1" spans="1:36">
      <c r="A1" s="2" t="s">
        <v>61</v>
      </c>
      <c r="B1" s="2" t="s">
        <v>67</v>
      </c>
      <c r="C1" s="2" t="s">
        <v>78</v>
      </c>
      <c r="D1" s="2" t="s">
        <v>69</v>
      </c>
      <c r="E1" s="2" t="s">
        <v>229</v>
      </c>
      <c r="F1" s="2" t="s">
        <v>125</v>
      </c>
      <c r="G1" s="2" t="s">
        <v>44</v>
      </c>
      <c r="H1" s="2" t="s">
        <v>468</v>
      </c>
    </row>
    <row r="2" customHeight="1" spans="1:36">
      <c r="A2" s="3" t="s">
        <v>62</v>
      </c>
      <c r="B2" s="4" t="s">
        <v>68</v>
      </c>
      <c r="C2" s="4" t="s">
        <v>79</v>
      </c>
      <c r="D2" s="4" t="s">
        <v>70</v>
      </c>
      <c r="E2" s="4" t="s">
        <v>230</v>
      </c>
      <c r="F2" s="4" t="s">
        <v>316</v>
      </c>
      <c r="G2" s="4" t="s">
        <v>45</v>
      </c>
      <c r="H2" s="4" t="s">
        <v>410</v>
      </c>
    </row>
    <row r="3" customHeight="1" spans="1:36">
      <c r="A3" s="3" t="s">
        <v>289</v>
      </c>
      <c r="B3" s="4" t="s">
        <v>295</v>
      </c>
      <c r="C3" s="4" t="s">
        <v>111</v>
      </c>
      <c r="D3" s="4" t="s">
        <v>312</v>
      </c>
      <c r="E3" s="4" t="s">
        <v>314</v>
      </c>
      <c r="F3" s="4" t="s">
        <v>317</v>
      </c>
      <c r="G3" s="4" t="s">
        <v>57</v>
      </c>
      <c r="H3" s="4" t="s">
        <v>414</v>
      </c>
    </row>
    <row r="4" customHeight="1" spans="1:36">
      <c r="C4" s="4" t="s">
        <v>302</v>
      </c>
      <c r="E4" s="4" t="s">
        <v>315</v>
      </c>
      <c r="F4" s="4" t="s">
        <v>318</v>
      </c>
      <c r="G4" s="4" t="s">
        <v>54</v>
      </c>
      <c r="H4" s="4" t="s">
        <v>417</v>
      </c>
    </row>
    <row r="5" customHeight="1" spans="1:36">
      <c r="C5" s="4" t="s">
        <v>307</v>
      </c>
      <c r="F5" s="4" t="s">
        <v>319</v>
      </c>
      <c r="G5" s="4" t="s">
        <v>50</v>
      </c>
      <c r="H5" s="4" t="s">
        <v>421</v>
      </c>
    </row>
    <row r="6" customHeight="1" spans="1:36">
      <c r="F6" s="4" t="s">
        <v>320</v>
      </c>
      <c r="H6" s="4" t="s">
        <v>140</v>
      </c>
    </row>
    <row r="7" customHeight="1" spans="1:36">
      <c r="F7" s="4" t="s">
        <v>321</v>
      </c>
      <c r="H7" s="4" t="s">
        <v>427</v>
      </c>
    </row>
    <row r="8" customHeight="1" spans="1:36">
      <c r="F8" s="4" t="s">
        <v>129</v>
      </c>
      <c r="H8" s="4" t="s">
        <v>431</v>
      </c>
    </row>
    <row r="9" customHeight="1" spans="1:36">
      <c r="F9" s="4" t="s">
        <v>126</v>
      </c>
      <c r="H9" s="4" t="s">
        <v>435</v>
      </c>
    </row>
    <row r="10" customHeight="1" spans="1:36">
      <c r="F10" s="4" t="s">
        <v>154</v>
      </c>
      <c r="H10" s="4" t="s">
        <v>439</v>
      </c>
    </row>
    <row r="11" customHeight="1" spans="1:36">
      <c r="F11" s="4" t="s">
        <v>322</v>
      </c>
    </row>
    <row r="13" customHeight="1" spans="1:36">
      <c r="A13" s="5" t="s">
        <v>469</v>
      </c>
      <c r="B13" s="5" t="s">
        <v>470</v>
      </c>
      <c r="C13" s="5" t="s">
        <v>471</v>
      </c>
      <c r="D13" s="5" t="s">
        <v>472</v>
      </c>
      <c r="E13" s="5" t="s">
        <v>473</v>
      </c>
      <c r="F13" s="5" t="s">
        <v>474</v>
      </c>
      <c r="G13" s="5" t="s">
        <v>475</v>
      </c>
      <c r="H13" s="5" t="s">
        <v>476</v>
      </c>
      <c r="I13" s="5" t="s">
        <v>477</v>
      </c>
      <c r="J13" s="5" t="s">
        <v>478</v>
      </c>
      <c r="K13" s="5" t="s">
        <v>479</v>
      </c>
      <c r="L13" s="5" t="s">
        <v>480</v>
      </c>
      <c r="M13" s="5" t="s">
        <v>481</v>
      </c>
      <c r="N13" s="5" t="s">
        <v>482</v>
      </c>
      <c r="O13" s="5" t="s">
        <v>483</v>
      </c>
      <c r="P13" s="5" t="s">
        <v>484</v>
      </c>
      <c r="Q13" s="5" t="s">
        <v>485</v>
      </c>
      <c r="R13" s="5" t="s">
        <v>486</v>
      </c>
      <c r="S13" s="5" t="s">
        <v>487</v>
      </c>
      <c r="T13" s="5" t="s">
        <v>488</v>
      </c>
      <c r="U13" s="5" t="s">
        <v>489</v>
      </c>
      <c r="V13" s="5" t="s">
        <v>490</v>
      </c>
      <c r="W13" s="5" t="s">
        <v>491</v>
      </c>
      <c r="X13" s="5" t="s">
        <v>492</v>
      </c>
      <c r="Y13" s="5" t="s">
        <v>493</v>
      </c>
      <c r="Z13" s="5" t="s">
        <v>494</v>
      </c>
      <c r="AA13" s="5" t="s">
        <v>495</v>
      </c>
      <c r="AB13" s="5" t="s">
        <v>496</v>
      </c>
      <c r="AC13" s="5" t="s">
        <v>497</v>
      </c>
      <c r="AD13" s="5" t="s">
        <v>498</v>
      </c>
      <c r="AE13" s="5" t="s">
        <v>499</v>
      </c>
      <c r="AF13" s="5" t="s">
        <v>500</v>
      </c>
      <c r="AG13" s="5" t="s">
        <v>501</v>
      </c>
      <c r="AH13" s="5" t="s">
        <v>502</v>
      </c>
      <c r="AI13" s="5" t="s">
        <v>503</v>
      </c>
      <c r="AJ13" s="5" t="s">
        <v>504</v>
      </c>
    </row>
    <row r="14" ht="17.25" customHeight="1" spans="1:36">
      <c r="A14" s="4" t="s">
        <v>505</v>
      </c>
      <c r="B14" s="4" t="s">
        <v>334</v>
      </c>
      <c r="C14" s="4" t="s">
        <v>506</v>
      </c>
      <c r="D14" s="4" t="s">
        <v>507</v>
      </c>
      <c r="E14" s="4" t="s">
        <v>508</v>
      </c>
      <c r="F14" s="4" t="s">
        <v>509</v>
      </c>
      <c r="G14" s="4" t="s">
        <v>510</v>
      </c>
      <c r="H14" s="4" t="s">
        <v>511</v>
      </c>
      <c r="I14" s="4" t="s">
        <v>354</v>
      </c>
      <c r="J14" s="4" t="s">
        <v>357</v>
      </c>
      <c r="K14" s="4" t="s">
        <v>360</v>
      </c>
      <c r="L14" s="4" t="s">
        <v>363</v>
      </c>
      <c r="M14" s="4" t="s">
        <v>365</v>
      </c>
      <c r="N14" s="4" t="s">
        <v>368</v>
      </c>
      <c r="O14" s="4" t="s">
        <v>371</v>
      </c>
      <c r="P14" s="4" t="s">
        <v>374</v>
      </c>
      <c r="Q14" s="4" t="s">
        <v>377</v>
      </c>
      <c r="R14" s="4" t="s">
        <v>380</v>
      </c>
      <c r="S14" s="4" t="s">
        <v>512</v>
      </c>
      <c r="T14" s="4" t="s">
        <v>513</v>
      </c>
      <c r="U14" s="4" t="s">
        <v>389</v>
      </c>
      <c r="V14" s="4" t="s">
        <v>392</v>
      </c>
      <c r="W14" s="4" t="s">
        <v>514</v>
      </c>
      <c r="X14" s="4" t="s">
        <v>398</v>
      </c>
      <c r="Y14" s="4" t="s">
        <v>401</v>
      </c>
      <c r="Z14" s="4" t="s">
        <v>404</v>
      </c>
      <c r="AA14" s="4" t="s">
        <v>407</v>
      </c>
      <c r="AB14" s="4" t="s">
        <v>515</v>
      </c>
      <c r="AC14" s="4" t="s">
        <v>516</v>
      </c>
      <c r="AD14" s="4" t="s">
        <v>517</v>
      </c>
      <c r="AE14" s="4" t="s">
        <v>518</v>
      </c>
      <c r="AF14" s="4" t="s">
        <v>519</v>
      </c>
      <c r="AG14" s="4" t="s">
        <v>520</v>
      </c>
      <c r="AH14" s="4" t="s">
        <v>521</v>
      </c>
      <c r="AI14" s="4" t="s">
        <v>522</v>
      </c>
      <c r="AJ14" s="4" t="s">
        <v>523</v>
      </c>
    </row>
    <row r="15" customHeight="1" spans="1:36">
      <c r="A15" s="4" t="s">
        <v>524</v>
      </c>
      <c r="B15" s="4" t="s">
        <v>525</v>
      </c>
      <c r="C15" s="4" t="s">
        <v>526</v>
      </c>
      <c r="D15" s="4" t="s">
        <v>527</v>
      </c>
      <c r="E15" s="4" t="s">
        <v>528</v>
      </c>
      <c r="F15" s="4" t="s">
        <v>528</v>
      </c>
      <c r="G15" s="4" t="s">
        <v>528</v>
      </c>
      <c r="H15" s="4" t="s">
        <v>529</v>
      </c>
      <c r="I15" s="4" t="s">
        <v>530</v>
      </c>
      <c r="J15" s="4" t="s">
        <v>531</v>
      </c>
      <c r="K15" s="4" t="s">
        <v>532</v>
      </c>
      <c r="L15" s="4" t="s">
        <v>532</v>
      </c>
      <c r="M15" s="4" t="s">
        <v>533</v>
      </c>
      <c r="N15" s="4" t="s">
        <v>534</v>
      </c>
      <c r="O15" s="4" t="s">
        <v>535</v>
      </c>
      <c r="P15" s="4" t="s">
        <v>536</v>
      </c>
      <c r="Q15" s="4" t="s">
        <v>537</v>
      </c>
      <c r="R15" s="4" t="s">
        <v>538</v>
      </c>
      <c r="S15" s="4" t="s">
        <v>539</v>
      </c>
      <c r="T15" s="4" t="s">
        <v>540</v>
      </c>
      <c r="U15" s="4" t="s">
        <v>541</v>
      </c>
      <c r="V15" s="4" t="s">
        <v>542</v>
      </c>
      <c r="W15" s="4" t="s">
        <v>543</v>
      </c>
      <c r="X15" s="4" t="s">
        <v>544</v>
      </c>
      <c r="Y15" s="4" t="s">
        <v>545</v>
      </c>
      <c r="Z15" s="4" t="s">
        <v>546</v>
      </c>
      <c r="AA15" s="4" t="s">
        <v>547</v>
      </c>
      <c r="AB15" s="4" t="s">
        <v>548</v>
      </c>
      <c r="AC15" s="4" t="s">
        <v>540</v>
      </c>
      <c r="AD15" s="4" t="s">
        <v>549</v>
      </c>
      <c r="AE15" s="4" t="s">
        <v>550</v>
      </c>
      <c r="AF15" s="4" t="s">
        <v>551</v>
      </c>
      <c r="AG15" s="4" t="s">
        <v>552</v>
      </c>
      <c r="AH15" s="4" t="s">
        <v>553</v>
      </c>
      <c r="AI15" s="4" t="s">
        <v>554</v>
      </c>
      <c r="AJ15" s="4" t="s">
        <v>555</v>
      </c>
    </row>
    <row r="16" customHeight="1" spans="1:36">
      <c r="A16" s="4" t="s">
        <v>556</v>
      </c>
      <c r="B16" s="4" t="s">
        <v>557</v>
      </c>
      <c r="C16" s="4" t="s">
        <v>558</v>
      </c>
      <c r="D16" s="4" t="s">
        <v>559</v>
      </c>
      <c r="E16" s="4" t="s">
        <v>560</v>
      </c>
      <c r="F16" s="4" t="s">
        <v>560</v>
      </c>
      <c r="G16" s="4" t="s">
        <v>560</v>
      </c>
      <c r="H16" s="4" t="s">
        <v>561</v>
      </c>
      <c r="I16" s="4" t="s">
        <v>562</v>
      </c>
      <c r="J16" s="4" t="s">
        <v>563</v>
      </c>
      <c r="K16" s="4" t="s">
        <v>564</v>
      </c>
      <c r="L16" s="4" t="s">
        <v>564</v>
      </c>
      <c r="M16" s="4" t="s">
        <v>565</v>
      </c>
      <c r="N16" s="4" t="s">
        <v>566</v>
      </c>
      <c r="O16" s="4" t="s">
        <v>567</v>
      </c>
      <c r="P16" s="4" t="s">
        <v>568</v>
      </c>
      <c r="Q16" s="4" t="s">
        <v>569</v>
      </c>
      <c r="R16" s="4" t="s">
        <v>570</v>
      </c>
      <c r="S16" s="4" t="s">
        <v>571</v>
      </c>
      <c r="T16" s="4" t="s">
        <v>572</v>
      </c>
      <c r="U16" s="4" t="s">
        <v>573</v>
      </c>
      <c r="V16" s="4" t="s">
        <v>574</v>
      </c>
      <c r="W16" s="4" t="s">
        <v>575</v>
      </c>
      <c r="X16" s="4" t="s">
        <v>576</v>
      </c>
      <c r="Y16" s="4" t="s">
        <v>577</v>
      </c>
      <c r="Z16" s="4" t="s">
        <v>578</v>
      </c>
      <c r="AA16" s="4" t="s">
        <v>579</v>
      </c>
      <c r="AB16" s="4" t="s">
        <v>580</v>
      </c>
      <c r="AC16" s="4" t="s">
        <v>572</v>
      </c>
      <c r="AD16" s="4" t="s">
        <v>581</v>
      </c>
      <c r="AE16" s="4" t="s">
        <v>582</v>
      </c>
      <c r="AF16" s="4" t="s">
        <v>583</v>
      </c>
      <c r="AG16" s="4" t="s">
        <v>584</v>
      </c>
      <c r="AH16" s="4" t="s">
        <v>585</v>
      </c>
      <c r="AI16" s="4" t="s">
        <v>586</v>
      </c>
      <c r="AJ16" s="4" t="s">
        <v>587</v>
      </c>
    </row>
    <row r="17" customHeight="1" spans="1:36">
      <c r="A17" s="4" t="s">
        <v>588</v>
      </c>
      <c r="B17" s="4" t="s">
        <v>589</v>
      </c>
      <c r="C17" s="4" t="s">
        <v>590</v>
      </c>
      <c r="D17" s="4" t="s">
        <v>591</v>
      </c>
      <c r="E17" s="4" t="s">
        <v>592</v>
      </c>
      <c r="F17" s="4" t="s">
        <v>592</v>
      </c>
      <c r="G17" s="4" t="s">
        <v>592</v>
      </c>
      <c r="H17" s="4" t="s">
        <v>593</v>
      </c>
      <c r="I17" s="4" t="s">
        <v>594</v>
      </c>
      <c r="J17" s="4" t="s">
        <v>595</v>
      </c>
      <c r="K17" s="4" t="s">
        <v>596</v>
      </c>
      <c r="L17" s="4" t="s">
        <v>596</v>
      </c>
      <c r="M17" s="4" t="s">
        <v>597</v>
      </c>
      <c r="N17" s="4" t="s">
        <v>598</v>
      </c>
      <c r="O17" s="4" t="s">
        <v>599</v>
      </c>
      <c r="P17" s="4" t="s">
        <v>600</v>
      </c>
      <c r="Q17" s="4" t="s">
        <v>601</v>
      </c>
      <c r="R17" s="4" t="s">
        <v>602</v>
      </c>
      <c r="S17" s="4" t="s">
        <v>603</v>
      </c>
      <c r="T17" s="4" t="s">
        <v>604</v>
      </c>
      <c r="U17" s="4" t="s">
        <v>605</v>
      </c>
      <c r="V17" s="4" t="s">
        <v>606</v>
      </c>
      <c r="W17" s="4" t="s">
        <v>607</v>
      </c>
      <c r="X17" s="4" t="s">
        <v>608</v>
      </c>
      <c r="Y17" s="4" t="s">
        <v>609</v>
      </c>
      <c r="Z17" s="4" t="s">
        <v>610</v>
      </c>
      <c r="AA17" s="4" t="s">
        <v>611</v>
      </c>
      <c r="AB17" s="4" t="s">
        <v>612</v>
      </c>
      <c r="AC17" s="4" t="s">
        <v>604</v>
      </c>
      <c r="AD17" s="4" t="s">
        <v>613</v>
      </c>
      <c r="AE17" s="4" t="s">
        <v>614</v>
      </c>
      <c r="AF17" s="4" t="s">
        <v>615</v>
      </c>
      <c r="AG17" s="4" t="s">
        <v>616</v>
      </c>
      <c r="AH17" s="4" t="s">
        <v>617</v>
      </c>
      <c r="AI17" s="4" t="s">
        <v>618</v>
      </c>
      <c r="AJ17" s="4" t="s">
        <v>619</v>
      </c>
    </row>
    <row r="18" customHeight="1" spans="1:36">
      <c r="A18" s="5" t="s">
        <v>620</v>
      </c>
      <c r="B18" s="5" t="s">
        <v>621</v>
      </c>
      <c r="C18" s="5" t="s">
        <v>622</v>
      </c>
      <c r="D18" s="5" t="s">
        <v>623</v>
      </c>
      <c r="E18" s="5" t="s">
        <v>624</v>
      </c>
      <c r="F18" s="5" t="s">
        <v>624</v>
      </c>
      <c r="G18" s="5" t="s">
        <v>624</v>
      </c>
      <c r="H18" s="5" t="s">
        <v>625</v>
      </c>
      <c r="I18" s="5" t="s">
        <v>626</v>
      </c>
      <c r="J18" s="5" t="s">
        <v>627</v>
      </c>
      <c r="K18" s="5" t="s">
        <v>628</v>
      </c>
      <c r="L18" s="5" t="s">
        <v>628</v>
      </c>
      <c r="M18" s="5" t="s">
        <v>629</v>
      </c>
      <c r="N18" s="5" t="s">
        <v>630</v>
      </c>
      <c r="O18" s="5" t="s">
        <v>631</v>
      </c>
      <c r="P18" s="5" t="s">
        <v>632</v>
      </c>
      <c r="Q18" s="5" t="s">
        <v>633</v>
      </c>
      <c r="R18" s="5" t="s">
        <v>634</v>
      </c>
      <c r="S18" s="5" t="s">
        <v>635</v>
      </c>
      <c r="T18" s="5" t="s">
        <v>636</v>
      </c>
      <c r="U18" s="5" t="s">
        <v>637</v>
      </c>
      <c r="V18" s="5" t="s">
        <v>638</v>
      </c>
      <c r="W18" s="5" t="s">
        <v>639</v>
      </c>
      <c r="X18" s="5" t="s">
        <v>640</v>
      </c>
      <c r="Y18" s="5" t="s">
        <v>641</v>
      </c>
      <c r="Z18" s="5" t="s">
        <v>642</v>
      </c>
      <c r="AA18" s="5" t="s">
        <v>643</v>
      </c>
      <c r="AB18" s="5" t="s">
        <v>644</v>
      </c>
      <c r="AC18" s="5" t="s">
        <v>636</v>
      </c>
      <c r="AD18" s="5" t="s">
        <v>645</v>
      </c>
      <c r="AE18" s="5" t="s">
        <v>646</v>
      </c>
      <c r="AF18" s="5" t="s">
        <v>647</v>
      </c>
      <c r="AG18" s="5" t="s">
        <v>648</v>
      </c>
      <c r="AH18" s="5" t="s">
        <v>649</v>
      </c>
      <c r="AI18" s="5" t="s">
        <v>650</v>
      </c>
      <c r="AJ18" s="5" t="s">
        <v>651</v>
      </c>
    </row>
    <row r="19" customHeight="1" spans="1:36">
      <c r="A19" s="6" t="s">
        <v>652</v>
      </c>
      <c r="B19" s="6" t="s">
        <v>653</v>
      </c>
      <c r="C19" s="6" t="s">
        <v>654</v>
      </c>
      <c r="D19" s="6" t="s">
        <v>655</v>
      </c>
      <c r="E19" s="6" t="s">
        <v>656</v>
      </c>
      <c r="F19" s="6" t="s">
        <v>657</v>
      </c>
      <c r="G19" s="6" t="s">
        <v>658</v>
      </c>
      <c r="H19" s="6" t="s">
        <v>659</v>
      </c>
      <c r="I19" s="6" t="s">
        <v>660</v>
      </c>
      <c r="J19" s="6" t="s">
        <v>661</v>
      </c>
      <c r="K19" s="6" t="s">
        <v>662</v>
      </c>
      <c r="L19" s="6" t="s">
        <v>663</v>
      </c>
      <c r="M19" s="6" t="s">
        <v>664</v>
      </c>
      <c r="N19" s="6" t="s">
        <v>665</v>
      </c>
      <c r="O19" s="6" t="s">
        <v>666</v>
      </c>
      <c r="P19" s="6" t="s">
        <v>667</v>
      </c>
      <c r="Q19" s="6" t="s">
        <v>668</v>
      </c>
      <c r="R19" s="6" t="s">
        <v>669</v>
      </c>
      <c r="S19" s="6" t="s">
        <v>670</v>
      </c>
      <c r="T19" s="6" t="s">
        <v>671</v>
      </c>
      <c r="U19" s="6" t="s">
        <v>672</v>
      </c>
      <c r="V19" s="6" t="s">
        <v>673</v>
      </c>
      <c r="W19" s="6" t="s">
        <v>674</v>
      </c>
      <c r="X19" s="6" t="s">
        <v>675</v>
      </c>
      <c r="Y19" s="6" t="s">
        <v>676</v>
      </c>
      <c r="Z19" s="6" t="s">
        <v>677</v>
      </c>
      <c r="AA19" s="6" t="s">
        <v>678</v>
      </c>
      <c r="AB19" s="6" t="s">
        <v>679</v>
      </c>
      <c r="AC19" s="6" t="s">
        <v>680</v>
      </c>
      <c r="AD19" s="6" t="s">
        <v>681</v>
      </c>
      <c r="AE19" s="6" t="s">
        <v>682</v>
      </c>
      <c r="AF19" s="6" t="s">
        <v>683</v>
      </c>
      <c r="AG19" s="6" t="s">
        <v>684</v>
      </c>
      <c r="AH19" s="6" t="s">
        <v>685</v>
      </c>
      <c r="AI19" s="6" t="s">
        <v>686</v>
      </c>
      <c r="AJ19" s="6" t="s">
        <v>687</v>
      </c>
    </row>
    <row r="23" customHeight="1" spans="1:36">
      <c r="A23" s="7" t="s">
        <v>25</v>
      </c>
      <c r="B23" s="5" t="s">
        <v>29</v>
      </c>
      <c r="C23" s="5" t="s">
        <v>33</v>
      </c>
      <c r="D23" s="5" t="s">
        <v>37</v>
      </c>
    </row>
    <row r="24" customHeight="1" spans="1:36">
      <c r="A24" s="8" t="s">
        <v>445</v>
      </c>
      <c r="B24" s="9" t="s">
        <v>451</v>
      </c>
      <c r="C24" s="8" t="s">
        <v>457</v>
      </c>
      <c r="D24" s="8" t="s">
        <v>463</v>
      </c>
    </row>
    <row r="25" customHeight="1" spans="1:36">
      <c r="A25" s="8" t="s">
        <v>447</v>
      </c>
      <c r="B25" s="9" t="s">
        <v>453</v>
      </c>
      <c r="C25" s="8" t="s">
        <v>459</v>
      </c>
      <c r="D25" s="8" t="s">
        <v>465</v>
      </c>
    </row>
    <row r="26" customHeight="1" spans="1:36">
      <c r="A26" s="8" t="s">
        <v>448</v>
      </c>
      <c r="B26" s="9" t="s">
        <v>454</v>
      </c>
      <c r="C26" s="8" t="s">
        <v>460</v>
      </c>
      <c r="D26" s="8" t="s">
        <v>466</v>
      </c>
    </row>
    <row r="27" customHeight="1" spans="1:36">
      <c r="A27" s="8" t="s">
        <v>449</v>
      </c>
      <c r="B27" s="9" t="s">
        <v>455</v>
      </c>
      <c r="C27" s="8" t="s">
        <v>34</v>
      </c>
      <c r="D27" s="8" t="s">
        <v>38</v>
      </c>
    </row>
    <row r="28" customHeight="1" spans="1:36">
      <c r="A28" s="8" t="s">
        <v>450</v>
      </c>
      <c r="B28" s="9" t="s">
        <v>30</v>
      </c>
      <c r="C28" s="8" t="s">
        <v>461</v>
      </c>
      <c r="D28" s="8" t="s">
        <v>280</v>
      </c>
    </row>
    <row r="29" customHeight="1" spans="1:36">
      <c r="A29" s="8" t="s">
        <v>26</v>
      </c>
      <c r="B29" s="9" t="s">
        <v>456</v>
      </c>
      <c r="C29" s="8" t="s">
        <v>462</v>
      </c>
      <c r="D29" s="8" t="s">
        <v>467</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软件研发项目工作量评估模板</vt:lpstr>
      <vt:lpstr>工作量评估</vt:lpstr>
      <vt:lpstr>工作量标准</vt:lpstr>
      <vt:lpstr>功能点类型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辉姑娘~</dc:creator>
  <cp:lastModifiedBy>Jiangang Yang</cp:lastModifiedBy>
  <dcterms:created xsi:type="dcterms:W3CDTF">2006-09-16T08:00:00Z</dcterms:created>
  <cp:lastPrinted>2023-03-02T17:47:00Z</cp:lastPrinted>
  <dcterms:modified xsi:type="dcterms:W3CDTF">2026-08-19T10:13:15Z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2052-12.1.26055.26055</vt:lpwstr>
  </property>
  <property fmtid="{D5CDD505-2E9C-101B-9397-08002B2CF9AE}" pid="3" name="ICV">
    <vt:lpwstr>32B5A4E166354A919638E8245556BB19_13</vt:lpwstr>
  </property>
  <property fmtid="{D5CDD505-2E9C-101B-9397-08002B2CF9AE}" pid="4" name="CalculationRule">
    <vt:i4>0</vt:i4>
  </property>
</Properties>
</file>